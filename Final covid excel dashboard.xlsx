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esktop\TANMAY\DATA PRACTISE SAMPLE\COVID\"/>
    </mc:Choice>
  </mc:AlternateContent>
  <xr:revisionPtr revIDLastSave="0" documentId="13_ncr:1_{269BAF13-593D-4FF3-9A1B-DB70ED18079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" sheetId="1" r:id="rId1"/>
    <sheet name="cleaned" sheetId="2" r:id="rId2"/>
    <sheet name="Pivot Data" sheetId="4" r:id="rId3"/>
    <sheet name="Dashboard" sheetId="5" r:id="rId4"/>
    <sheet name="Chart data" sheetId="6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</calcChain>
</file>

<file path=xl/sharedStrings.xml><?xml version="1.0" encoding="utf-8"?>
<sst xmlns="http://schemas.openxmlformats.org/spreadsheetml/2006/main" count="187" uniqueCount="62">
  <si>
    <t>State/UTs</t>
  </si>
  <si>
    <t>Total Vaccination Doses</t>
  </si>
  <si>
    <t>Dose1</t>
  </si>
  <si>
    <t>Dose 2</t>
  </si>
  <si>
    <t>Dose 1 15-18</t>
  </si>
  <si>
    <t>Dose 2 15-18</t>
  </si>
  <si>
    <t>Dose 1 12-14</t>
  </si>
  <si>
    <t>Dose 2 12-14</t>
  </si>
  <si>
    <t>Precaution 18-59</t>
  </si>
  <si>
    <t>Population</t>
  </si>
  <si>
    <t>Vaccination %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</si>
  <si>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</si>
  <si>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</si>
  <si>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</si>
  <si>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</si>
  <si>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</si>
  <si>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</si>
  <si>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</si>
  <si>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</si>
  <si>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</si>
  <si>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</si>
  <si>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</si>
  <si>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</si>
  <si>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</si>
  <si>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</si>
  <si>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</si>
  <si>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</si>
  <si>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</si>
  <si>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</si>
  <si>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</si>
  <si>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</si>
  <si>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</si>
  <si>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</si>
  <si>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</si>
  <si>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</si>
  <si>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</si>
  <si>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</si>
  <si>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</si>
  <si>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</si>
  <si>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</si>
  <si>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</si>
  <si>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</si>
  <si>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</si>
  <si>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</si>
  <si>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</si>
  <si>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</si>
  <si>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</si>
  <si>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Dose2</t>
  </si>
  <si>
    <t>Vaccination Category</t>
  </si>
  <si>
    <t>Sum of Population</t>
  </si>
  <si>
    <t>Sum of Dose1</t>
  </si>
  <si>
    <t>Sum of Dose2</t>
  </si>
  <si>
    <t>Sum of Precaution 18-59</t>
  </si>
  <si>
    <t>Sum of Total Vaccination Doses</t>
  </si>
  <si>
    <t>Row Labels</t>
  </si>
  <si>
    <t>Grand Total</t>
  </si>
  <si>
    <t>High</t>
  </si>
  <si>
    <t>Low</t>
  </si>
  <si>
    <t>Medium</t>
  </si>
  <si>
    <t>Count of State/UTs</t>
  </si>
  <si>
    <t>Average of Vaccination %</t>
  </si>
  <si>
    <t>COVID-19 INDIA VACCINATION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</si>
</sst>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,,,&quot; B&quot;"/>
  </numFmts>
  <fonts count="24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sz val="11"/>
      <color rgb="FF3F3F76"/>
      <name val="Tw Cen MT"/>
      <family val="2"/>
      <scheme val="minor"/>
    </font>
    <font>
      <b/>
      <sz val="11"/>
      <color rgb="FF3F3F3F"/>
      <name val="Tw Cen MT"/>
      <family val="2"/>
      <scheme val="minor"/>
    </font>
    <font>
      <b/>
      <sz val="11"/>
      <color rgb="FFFA7D00"/>
      <name val="Tw Cen MT"/>
      <family val="2"/>
      <scheme val="minor"/>
    </font>
    <font>
      <sz val="11"/>
      <color rgb="FFFA7D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i/>
      <sz val="11"/>
      <color rgb="FF7F7F7F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22"/>
      <color theme="1"/>
      <name val="Tw Cen MT"/>
      <family val="2"/>
      <scheme val="minor"/>
    </font>
    <font>
      <b/>
      <sz val="24"/>
      <color theme="1"/>
      <name val="Tw Cen MT"/>
      <family val="2"/>
      <scheme val="minor"/>
    </font>
    <font>
      <sz val="11"/>
      <color theme="1"/>
      <name val="Calibri"/>
    </font>
    <font>
      <b/>
      <sz val="11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0" borderId="0" xfId="0" applyFont="1"/>
    <xf numFmtId="1" fontId="19" fillId="0" borderId="0" xfId="0" applyNumberFormat="1" applyFont="1"/>
    <xf numFmtId="10" fontId="19" fillId="0" borderId="0" xfId="0" applyNumberFormat="1" applyFont="1"/>
    <xf numFmtId="9" fontId="19" fillId="0" borderId="0" xfId="1" applyFont="1"/>
    <xf numFmtId="2" fontId="19" fillId="0" borderId="0" xfId="0" applyNumberFormat="1" applyFont="1"/>
    <xf numFmtId="0" fontId="20" fillId="0" borderId="0" xfId="0" applyFont="1"/>
    <xf numFmtId="0" fontId="21" fillId="0" borderId="0" xfId="0" applyFont="1"/>
    <xf numFmtId="0" fontId="22" fillId="0" borderId="0" xfId="0" pivotButton="1" applyFont="1"/>
    <xf numFmtId="0" fontId="22" fillId="0" borderId="0" xfId="0" applyFont="1"/>
    <xf numFmtId="0" fontId="22" fillId="0" borderId="0" xfId="0" applyFont="1" applyAlignment="1">
      <alignment horizontal="left"/>
    </xf>
    <xf numFmtId="0" fontId="22" fillId="0" borderId="0" xfId="0" applyNumberFormat="1" applyFont="1"/>
    <xf numFmtId="164" fontId="22" fillId="0" borderId="0" xfId="0" applyNumberFormat="1" applyFont="1"/>
    <xf numFmtId="1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3" fillId="0" borderId="0" xfId="0" applyFont="1" applyAlignment="1">
      <alignment horizontal="left"/>
    </xf>
    <xf numFmtId="0" fontId="23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03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/>
      </font>
    </dxf>
    <dxf>
      <font>
        <b/>
      </font>
    </dxf>
    <dxf>
      <font>
        <b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" formatCode="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" formatCode="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0.0,,,&quot; B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/>
      </font>
    </dxf>
    <dxf>
      <font>
        <b/>
      </font>
    </dxf>
    <dxf>
      <font>
        <b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color theme="1"/>
      </font>
      <fill>
        <patternFill>
          <fgColor theme="2" tint="-0.499984740745262"/>
        </patternFill>
      </fill>
      <border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color theme="2" tint="-0.499984740745262"/>
      </font>
      <fill>
        <patternFill>
          <fgColor auto="1"/>
        </patternFill>
      </fill>
    </dxf>
    <dxf>
      <font>
        <color theme="2" tint="-0.499984740745262"/>
      </font>
    </dxf>
  </dxfs>
  <tableStyles count="3" defaultTableStyle="TableStyleMedium2" defaultPivotStyle="PivotStyleLight16">
    <tableStyle name="Slicer Style 1" pivot="0" table="0" count="6" xr9:uid="{2A7DC35F-2900-4E5B-88A7-9985E04DEA72}">
      <tableStyleElement type="wholeTable" dxfId="102"/>
      <tableStyleElement type="headerRow" dxfId="101"/>
    </tableStyle>
    <tableStyle name="SlicerStyleDark6 2" pivot="0" table="0" count="10" xr9:uid="{A14603AF-EA83-41DC-A14B-4D900A69302A}">
      <tableStyleElement type="wholeTable" dxfId="100"/>
      <tableStyleElement type="headerRow" dxfId="99"/>
    </tableStyle>
    <tableStyle name="SlicerStyleLight1 2" pivot="0" table="0" count="7" xr9:uid="{CB3C97F8-DE02-44D3-8A92-8B9D6251470E}">
      <tableStyleElement type="headerRow" dxfId="98"/>
    </tableStyle>
  </tableStyles>
  <colors>
    <mruColors>
      <color rgb="FFEEF5FF"/>
    </mruColors>
  </colors>
  <extLst>
    <ext xmlns:x14="http://schemas.microsoft.com/office/spreadsheetml/2009/9/main" uri="{46F421CA-312F-682f-3DD2-61675219B42D}">
      <x14:dxfs count="1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2" tint="-0.499984740745262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theme="2" tint="-0.499984740745262"/>
          </font>
        </dxf>
        <dxf>
          <font>
            <color theme="0"/>
          </font>
        </dxf>
        <dxf>
          <font>
            <color theme="0"/>
          </font>
          <fill>
            <patternFill>
              <fgColor theme="7"/>
            </patternFill>
          </fill>
        </dxf>
        <dxf>
          <font>
            <color theme="2" tint="-0.499984740745262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7"/>
            <x14:slicerStyleElement type="selectedItemWithData" dxfId="16"/>
            <x14:slicerStyleElement type="hoveredUnselectedItemWithData" dxfId="15"/>
            <x14:slicerStyleElement type="hoveredSelectedItemWithNoData" dxfId="14"/>
          </x14:slicerStyleElements>
        </x14:slicerStyle>
        <x14:slicerStyle name="SlicerStyleDark6 2">
          <x14:slicerStyleElements>
            <x14:slicerStyleElement type="unselectedItemWithData" dxfId="13"/>
            <x14:slicerStyleElement type="unselectedItemWithNoData" dxfId="12"/>
            <x14:slicerStyleElement type="selectedItemWithData" dxfId="11"/>
            <x14:slicerStyleElement type="selectedItemWithNoData" dxfId="10"/>
            <x14:slicerStyleElement type="hoveredUnselectedItemWithData" dxfId="9"/>
            <x14:slicerStyleElement type="hoveredSelectedItemWithData" dxfId="8"/>
            <x14:slicerStyleElement type="hoveredUnselectedItemWithNoData" dxfId="7"/>
            <x14:slicerStyleElement type="hoveredSelectedItemWithNoData" dxfId="6"/>
          </x14:slicerStyleElements>
        </x14:slicerStyle>
        <x14:slicerStyle name="SlicerStyleLight1 2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hoveredUn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covid excel dashboard.xlsx]Pivot Data!PivotTable6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/>
              <a:t>Top 10 States</a:t>
            </a:r>
            <a:endParaRPr lang="en-IN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Data'!$D$3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Data'!$C$4:$C$14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Bihar</c:v>
                </c:pt>
                <c:pt idx="3">
                  <c:v>West Bengal</c:v>
                </c:pt>
                <c:pt idx="4">
                  <c:v>Madhya Pradesh</c:v>
                </c:pt>
                <c:pt idx="5">
                  <c:v>Gujarat</c:v>
                </c:pt>
                <c:pt idx="6">
                  <c:v>Tamil Nadu</c:v>
                </c:pt>
                <c:pt idx="7">
                  <c:v>Karnataka</c:v>
                </c:pt>
                <c:pt idx="8">
                  <c:v>Rajasthan</c:v>
                </c:pt>
                <c:pt idx="9">
                  <c:v>Andhra Pradesh</c:v>
                </c:pt>
              </c:strCache>
            </c:strRef>
          </c:cat>
          <c:val>
            <c:numRef>
              <c:f>'Pivot Data'!$D$4:$D$14</c:f>
              <c:numCache>
                <c:formatCode>General</c:formatCode>
                <c:ptCount val="10"/>
                <c:pt idx="0">
                  <c:v>392011174</c:v>
                </c:pt>
                <c:pt idx="1">
                  <c:v>177977996</c:v>
                </c:pt>
                <c:pt idx="2">
                  <c:v>157293015</c:v>
                </c:pt>
                <c:pt idx="3">
                  <c:v>156100370</c:v>
                </c:pt>
                <c:pt idx="4">
                  <c:v>133940196</c:v>
                </c:pt>
                <c:pt idx="5">
                  <c:v>128105565</c:v>
                </c:pt>
                <c:pt idx="6">
                  <c:v>127533904</c:v>
                </c:pt>
                <c:pt idx="7">
                  <c:v>122152396</c:v>
                </c:pt>
                <c:pt idx="8">
                  <c:v>115721511</c:v>
                </c:pt>
                <c:pt idx="9">
                  <c:v>110957430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9-4E10-A5F8-2196BFEE9C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14752208"/>
        <c:axId val="1714752624"/>
      </c:barChart>
      <c:catAx>
        <c:axId val="171475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52624"/>
        <c:crosses val="autoZero"/>
        <c:auto val="1"/>
        <c:lblAlgn val="ctr"/>
        <c:lblOffset val="100"/>
        <c:noMultiLvlLbl val="0"/>
      </c:catAx>
      <c:valAx>
        <c:axId val="171475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5220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covid excel dashboard.xlsx]Pivot Data!PivotTable7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/>
              <a:t>Dose1 vs Dose2</a:t>
            </a:r>
            <a:endParaRPr lang="en-IN" sz="1600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5005199901747"/>
          <c:y val="0.11293332817832577"/>
          <c:w val="0.8199113323417081"/>
          <c:h val="0.796749432991010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Data'!$B$54</c:f>
              <c:strCache>
                <c:ptCount val="1"/>
                <c:pt idx="0">
                  <c:v>Sum of Dose1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Data'!$A$55:$A$65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West Bengal</c:v>
                </c:pt>
                <c:pt idx="3">
                  <c:v>Bihar</c:v>
                </c:pt>
                <c:pt idx="4">
                  <c:v>Tamil Nadu</c:v>
                </c:pt>
                <c:pt idx="5">
                  <c:v>Madhya Pradesh</c:v>
                </c:pt>
                <c:pt idx="6">
                  <c:v>Rajasthan</c:v>
                </c:pt>
                <c:pt idx="7">
                  <c:v>Karnataka</c:v>
                </c:pt>
                <c:pt idx="8">
                  <c:v>Gujarat</c:v>
                </c:pt>
                <c:pt idx="9">
                  <c:v>Andhra Pradesh</c:v>
                </c:pt>
              </c:strCache>
            </c:strRef>
          </c:cat>
          <c:val>
            <c:numRef>
              <c:f>'Pivot Data'!$B$55:$B$65</c:f>
              <c:numCache>
                <c:formatCode>General</c:formatCode>
                <c:ptCount val="10"/>
                <c:pt idx="0">
                  <c:v>154096960</c:v>
                </c:pt>
                <c:pt idx="1">
                  <c:v>84665105</c:v>
                </c:pt>
                <c:pt idx="2">
                  <c:v>67305396</c:v>
                </c:pt>
                <c:pt idx="3">
                  <c:v>62956601</c:v>
                </c:pt>
                <c:pt idx="4">
                  <c:v>56671366</c:v>
                </c:pt>
                <c:pt idx="5">
                  <c:v>54143863</c:v>
                </c:pt>
                <c:pt idx="6">
                  <c:v>51115413</c:v>
                </c:pt>
                <c:pt idx="7">
                  <c:v>50032922</c:v>
                </c:pt>
                <c:pt idx="8">
                  <c:v>49324964</c:v>
                </c:pt>
                <c:pt idx="9">
                  <c:v>40645695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A-4FE8-8147-385B468F0F4F}"/>
            </c:ext>
          </c:extLst>
        </c:ser>
        <c:ser>
          <c:idx val="1"/>
          <c:order val="1"/>
          <c:tx>
            <c:strRef>
              <c:f>'Pivot Data'!$C$54</c:f>
              <c:strCache>
                <c:ptCount val="1"/>
                <c:pt idx="0">
                  <c:v>Sum of Dose2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Data'!$A$55:$A$65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West Bengal</c:v>
                </c:pt>
                <c:pt idx="3">
                  <c:v>Bihar</c:v>
                </c:pt>
                <c:pt idx="4">
                  <c:v>Tamil Nadu</c:v>
                </c:pt>
                <c:pt idx="5">
                  <c:v>Madhya Pradesh</c:v>
                </c:pt>
                <c:pt idx="6">
                  <c:v>Rajasthan</c:v>
                </c:pt>
                <c:pt idx="7">
                  <c:v>Karnataka</c:v>
                </c:pt>
                <c:pt idx="8">
                  <c:v>Gujarat</c:v>
                </c:pt>
                <c:pt idx="9">
                  <c:v>Andhra Pradesh</c:v>
                </c:pt>
              </c:strCache>
            </c:strRef>
          </c:cat>
          <c:val>
            <c:numRef>
              <c:f>'Pivot Data'!$C$55:$C$65</c:f>
              <c:numCache>
                <c:formatCode>General</c:formatCode>
                <c:ptCount val="10"/>
                <c:pt idx="0">
                  <c:v>147866674</c:v>
                </c:pt>
                <c:pt idx="1">
                  <c:v>71650189</c:v>
                </c:pt>
                <c:pt idx="2">
                  <c:v>61606895</c:v>
                </c:pt>
                <c:pt idx="3">
                  <c:v>59160917</c:v>
                </c:pt>
                <c:pt idx="4">
                  <c:v>53532301</c:v>
                </c:pt>
                <c:pt idx="5">
                  <c:v>54061656</c:v>
                </c:pt>
                <c:pt idx="6">
                  <c:v>46586810</c:v>
                </c:pt>
                <c:pt idx="7">
                  <c:v>50520795</c:v>
                </c:pt>
                <c:pt idx="8">
                  <c:v>49448078</c:v>
                </c:pt>
                <c:pt idx="9">
                  <c:v>43555744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7A-4FE8-8147-385B468F0F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14752208"/>
        <c:axId val="1714752624"/>
      </c:barChart>
      <c:catAx>
        <c:axId val="171475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52624"/>
        <c:crosses val="autoZero"/>
        <c:auto val="1"/>
        <c:lblAlgn val="ctr"/>
        <c:lblOffset val="100"/>
        <c:noMultiLvlLbl val="0"/>
      </c:catAx>
      <c:valAx>
        <c:axId val="171475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5220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88361202299391184"/>
                <c:y val="0.93977101724199397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</c:plotArea>
    <c:legend>
      <c:legendPos val="r"/>
      <c:overlay val="0"/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covid excel dashboard.xlsx]Pivot Data!PivotTable9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/>
              <a:t>Vaccination Distribution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Data'!$M$74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2D-41F5-9696-8F089257F2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2D-41F5-9696-8F089257F2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2D-41F5-9696-8F089257F2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Data'!$L$75:$L$78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Data'!$M$75:$M$78</c:f>
              <c:numCache>
                <c:formatCode>General</c:formatCode>
                <c:ptCount val="3"/>
                <c:pt idx="0">
                  <c:v>23</c:v>
                </c:pt>
                <c:pt idx="1">
                  <c:v>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0D-4A6B-A2A3-89824DB7F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9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68815153645242"/>
          <c:y val="0.33639109666450245"/>
          <c:w val="0.19735970887617929"/>
          <c:h val="0.32382693208066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covid excel dashboard.xlsx]Pivot Data!PivotTable10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0" i="0" u="none" strike="noStrike" baseline="0"/>
              <a:t>Vaccination Coverage %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Data'!$M$3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Data'!$L$4:$L$14</c:f>
              <c:strCache>
                <c:ptCount val="10"/>
                <c:pt idx="0">
                  <c:v>Andaman And Nicobar</c:v>
                </c:pt>
                <c:pt idx="1">
                  <c:v>Lakshadweep</c:v>
                </c:pt>
                <c:pt idx="2">
                  <c:v>Sikkim</c:v>
                </c:pt>
                <c:pt idx="3">
                  <c:v>Himachal Pradesh</c:v>
                </c:pt>
                <c:pt idx="4">
                  <c:v>Dadra And Nagar Haveli And Daman And Diu</c:v>
                </c:pt>
                <c:pt idx="5">
                  <c:v>Telangana</c:v>
                </c:pt>
                <c:pt idx="6">
                  <c:v>Chandigarh</c:v>
                </c:pt>
                <c:pt idx="7">
                  <c:v>Ladakh</c:v>
                </c:pt>
                <c:pt idx="8">
                  <c:v>Delhi</c:v>
                </c:pt>
                <c:pt idx="9">
                  <c:v>Goa</c:v>
                </c:pt>
              </c:strCache>
            </c:strRef>
          </c:cat>
          <c:val>
            <c:numRef>
              <c:f>'Pivot Data'!$M$4:$M$14</c:f>
              <c:numCache>
                <c:formatCode>0</c:formatCode>
                <c:ptCount val="10"/>
                <c:pt idx="0">
                  <c:v>248.43647010000001</c:v>
                </c:pt>
                <c:pt idx="1">
                  <c:v>220.16787619999999</c:v>
                </c:pt>
                <c:pt idx="2">
                  <c:v>206.75345239999999</c:v>
                </c:pt>
                <c:pt idx="3">
                  <c:v>204.25781119999999</c:v>
                </c:pt>
                <c:pt idx="4">
                  <c:v>204.14291009999999</c:v>
                </c:pt>
                <c:pt idx="5">
                  <c:v>203.4408085</c:v>
                </c:pt>
                <c:pt idx="6">
                  <c:v>197.91518429999999</c:v>
                </c:pt>
                <c:pt idx="7">
                  <c:v>195.23188250000001</c:v>
                </c:pt>
                <c:pt idx="8">
                  <c:v>193.81984840000001</c:v>
                </c:pt>
                <c:pt idx="9">
                  <c:v>188.86281930000001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2-4A87-894A-E813868CD2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6845904"/>
        <c:axId val="516847984"/>
      </c:barChart>
      <c:catAx>
        <c:axId val="51684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47984"/>
        <c:crosses val="autoZero"/>
        <c:auto val="1"/>
        <c:lblAlgn val="ctr"/>
        <c:lblOffset val="100"/>
        <c:noMultiLvlLbl val="0"/>
      </c:catAx>
      <c:valAx>
        <c:axId val="51684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459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27518239803725"/>
          <c:y val="0.14419406156184178"/>
          <c:w val="0.82142552239435696"/>
          <c:h val="0.67149189121431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'Chart data'!$D$4</c:f>
              <c:strCache>
                <c:ptCount val="1"/>
                <c:pt idx="0">
                  <c:v>Sum of Total Vaccination Doses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9.4393985367402025E-2"/>
                  <c:y val="1.789784207691061E-2"/>
                </c:manualLayout>
              </c:layout>
              <c:tx>
                <c:rich>
                  <a:bodyPr/>
                  <a:lstStyle/>
                  <a:p>
                    <a:fld id="{7134D32D-7CA8-4BBD-8A68-9C7404A9D31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919-48ED-9BD9-E26751FA2C7B}"/>
                </c:ext>
              </c:extLst>
            </c:dLbl>
            <c:dLbl>
              <c:idx val="1"/>
              <c:layout>
                <c:manualLayout>
                  <c:x val="-8.6065104305572432E-2"/>
                  <c:y val="8.0540289346098193E-2"/>
                </c:manualLayout>
              </c:layout>
              <c:tx>
                <c:rich>
                  <a:bodyPr/>
                  <a:lstStyle/>
                  <a:p>
                    <a:fld id="{C4068107-8758-481B-9E5D-BF7AB17E719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919-48ED-9BD9-E26751FA2C7B}"/>
                </c:ext>
              </c:extLst>
            </c:dLbl>
            <c:dLbl>
              <c:idx val="2"/>
              <c:layout>
                <c:manualLayout>
                  <c:x val="-6.3854754807360192E-2"/>
                  <c:y val="-0.13423381557683017"/>
                </c:manualLayout>
              </c:layout>
              <c:tx>
                <c:rich>
                  <a:bodyPr/>
                  <a:lstStyle/>
                  <a:p>
                    <a:fld id="{688538E2-1FCC-4710-A7CA-182E3E73281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919-48ED-9BD9-E26751FA2C7B}"/>
                </c:ext>
              </c:extLst>
            </c:dLbl>
            <c:dLbl>
              <c:idx val="3"/>
              <c:layout>
                <c:manualLayout>
                  <c:x val="0.11938062855289081"/>
                  <c:y val="3.132122363459363E-2"/>
                </c:manualLayout>
              </c:layout>
              <c:tx>
                <c:rich>
                  <a:bodyPr/>
                  <a:lstStyle/>
                  <a:p>
                    <a:fld id="{CAFBA18F-64D2-4794-BBAD-465B2F055CE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919-48ED-9BD9-E26751FA2C7B}"/>
                </c:ext>
              </c:extLst>
            </c:dLbl>
            <c:dLbl>
              <c:idx val="4"/>
              <c:layout>
                <c:manualLayout>
                  <c:x val="5.2749580058254072E-2"/>
                  <c:y val="-6.2642447269187496E-2"/>
                </c:manualLayout>
              </c:layout>
              <c:tx>
                <c:rich>
                  <a:bodyPr/>
                  <a:lstStyle/>
                  <a:p>
                    <a:fld id="{07C55904-10E4-4649-AC4D-FCB42FF3651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919-48ED-9BD9-E26751FA2C7B}"/>
                </c:ext>
              </c:extLst>
            </c:dLbl>
            <c:dLbl>
              <c:idx val="5"/>
              <c:layout>
                <c:manualLayout>
                  <c:x val="0.17768279598569794"/>
                  <c:y val="7.1591368307642678E-2"/>
                </c:manualLayout>
              </c:layout>
              <c:tx>
                <c:rich>
                  <a:bodyPr/>
                  <a:lstStyle/>
                  <a:p>
                    <a:fld id="{1E372BB7-2A75-417A-9CDF-DE1D66DA3A6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919-48ED-9BD9-E26751FA2C7B}"/>
                </c:ext>
              </c:extLst>
            </c:dLbl>
            <c:dLbl>
              <c:idx val="6"/>
              <c:layout>
                <c:manualLayout>
                  <c:x val="-1.1094681670603028E-2"/>
                  <c:y val="9.6911882370308469E-2"/>
                </c:manualLayout>
              </c:layout>
              <c:tx>
                <c:rich>
                  <a:bodyPr/>
                  <a:lstStyle/>
                  <a:p>
                    <a:fld id="{189938C9-9B2F-4B81-B475-8CE547A24A7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919-48ED-9BD9-E26751FA2C7B}"/>
                </c:ext>
              </c:extLst>
            </c:dLbl>
            <c:dLbl>
              <c:idx val="7"/>
              <c:layout>
                <c:manualLayout>
                  <c:x val="-0.15547244648748559"/>
                  <c:y val="0"/>
                </c:manualLayout>
              </c:layout>
              <c:tx>
                <c:rich>
                  <a:bodyPr/>
                  <a:lstStyle/>
                  <a:p>
                    <a:fld id="{7B26AF50-41ED-4547-9A8B-59217B6151B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919-48ED-9BD9-E26751FA2C7B}"/>
                </c:ext>
              </c:extLst>
            </c:dLbl>
            <c:dLbl>
              <c:idx val="8"/>
              <c:layout>
                <c:manualLayout>
                  <c:x val="-6.3854754807360248E-2"/>
                  <c:y val="-0.10738705246146422"/>
                </c:manualLayout>
              </c:layout>
              <c:tx>
                <c:rich>
                  <a:bodyPr/>
                  <a:lstStyle/>
                  <a:p>
                    <a:fld id="{48D8DDEC-FFB7-495D-B6B0-EA07FEC94E9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919-48ED-9BD9-E26751FA2C7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919-48ED-9BD9-E26751FA2C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'Chart data'!$C$6:$C$15</c:f>
              <c:numCache>
                <c:formatCode>General</c:formatCode>
                <c:ptCount val="10"/>
                <c:pt idx="0">
                  <c:v>128500364</c:v>
                </c:pt>
                <c:pt idx="1">
                  <c:v>70400153</c:v>
                </c:pt>
                <c:pt idx="2">
                  <c:v>69599762</c:v>
                </c:pt>
                <c:pt idx="3">
                  <c:v>85002417</c:v>
                </c:pt>
                <c:pt idx="4">
                  <c:v>124904071</c:v>
                </c:pt>
                <c:pt idx="5">
                  <c:v>79502477</c:v>
                </c:pt>
                <c:pt idx="6">
                  <c:v>83697770</c:v>
                </c:pt>
                <c:pt idx="7">
                  <c:v>231502578</c:v>
                </c:pt>
                <c:pt idx="8">
                  <c:v>100896618</c:v>
                </c:pt>
              </c:numCache>
            </c:numRef>
          </c:xVal>
          <c:yVal>
            <c:numRef>
              <c:f>'Chart data'!$D$6:$D$15</c:f>
              <c:numCache>
                <c:formatCode>General</c:formatCode>
                <c:ptCount val="10"/>
                <c:pt idx="0">
                  <c:v>157293015</c:v>
                </c:pt>
                <c:pt idx="1">
                  <c:v>128105565</c:v>
                </c:pt>
                <c:pt idx="2">
                  <c:v>122152396</c:v>
                </c:pt>
                <c:pt idx="3">
                  <c:v>133940196</c:v>
                </c:pt>
                <c:pt idx="4">
                  <c:v>177977996</c:v>
                </c:pt>
                <c:pt idx="5">
                  <c:v>115721511</c:v>
                </c:pt>
                <c:pt idx="6">
                  <c:v>127533904</c:v>
                </c:pt>
                <c:pt idx="7">
                  <c:v>392011174</c:v>
                </c:pt>
                <c:pt idx="8">
                  <c:v>156100370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data'!$B$5:$B$14</c15:f>
                <c15:dlblRangeCache>
                  <c:ptCount val="10"/>
                  <c:pt idx="0">
                    <c:v>Andhra Pradesh</c:v>
                  </c:pt>
                  <c:pt idx="1">
                    <c:v>Bihar</c:v>
                  </c:pt>
                  <c:pt idx="2">
                    <c:v>Gujarat</c:v>
                  </c:pt>
                  <c:pt idx="3">
                    <c:v>Karnataka</c:v>
                  </c:pt>
                  <c:pt idx="4">
                    <c:v>Madhya Pradesh</c:v>
                  </c:pt>
                  <c:pt idx="5">
                    <c:v>Maharashtra</c:v>
                  </c:pt>
                  <c:pt idx="6">
                    <c:v>Rajasthan</c:v>
                  </c:pt>
                  <c:pt idx="7">
                    <c:v>Tamil Nadu</c:v>
                  </c:pt>
                  <c:pt idx="8">
                    <c:v>Uttar Pradesh</c:v>
                  </c:pt>
                  <c:pt idx="9">
                    <c:v>West Bengal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9919-48ED-9BD9-E26751FA2C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66167680"/>
        <c:axId val="666168928"/>
      </c:scatterChart>
      <c:valAx>
        <c:axId val="66616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Population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4537491301166049"/>
              <c:y val="0.92808578434016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689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6661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Total Vaccination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1676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374074</xdr:colOff>
      <xdr:row>2</xdr:row>
      <xdr:rowOff>152400</xdr:rowOff>
    </xdr:from>
    <xdr:to>
      <xdr:col>21</xdr:col>
      <xdr:colOff>138546</xdr:colOff>
      <xdr:row>74</xdr:row>
      <xdr:rowOff>27709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779285D-2B7E-4442-A8C3-20900A1FB172}"/>
            </a:ext>
          </a:extLst>
        </xdr:cNvPr>
        <xdr:cNvSpPr/>
      </xdr:nvSpPr>
      <xdr:spPr>
        <a:xfrm>
          <a:off x="1039092" y="720436"/>
          <a:ext cx="13064836" cy="12843164"/>
        </a:xfrm>
        <a:prstGeom prst="rect">
          <a:avLst/>
        </a:prstGeom>
        <a:solidFill>
          <a:srgbClr val="EEF5FF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3600" b="1">
            <a:solidFill>
              <a:srgbClr val="EEF5FF"/>
            </a:solidFill>
          </a:endParaRPr>
        </a:p>
      </xdr:txBody>
    </xdr:sp>
    <xdr:clientData/>
  </xdr:twoCellAnchor>
  <xdr:twoCellAnchor>
    <xdr:from>
      <xdr:col>1</xdr:col>
      <xdr:colOff>576146</xdr:colOff>
      <xdr:row>3</xdr:row>
      <xdr:rowOff>166255</xdr:rowOff>
    </xdr:from>
    <xdr:to>
      <xdr:col>5</xdr:col>
      <xdr:colOff>318654</xdr:colOff>
      <xdr:row>8</xdr:row>
      <xdr:rowOff>60748</xdr:rowOff>
    </xdr:to>
    <xdr:sp macro="" textlink="'Pivot Data'!A4">
      <xdr:nvSpPr>
        <xdr:cNvPr id="2" name="Rectangle: Rounded Corners 1">
          <a:extLst>
            <a:ext uri="{FF2B5EF4-FFF2-40B4-BE49-F238E27FC236}">
              <a16:creationId xmlns:a16="http://schemas.microsoft.com/office/drawing/2014/main" id="{29BAA2F0-816E-4A08-B403-AC6CA288A75E}"/>
            </a:ext>
          </a:extLst>
        </xdr:cNvPr>
        <xdr:cNvSpPr/>
      </xdr:nvSpPr>
      <xdr:spPr>
        <a:xfrm>
          <a:off x="1241164" y="914400"/>
          <a:ext cx="2402581" cy="795039"/>
        </a:xfrm>
        <a:prstGeom prst="roundRect">
          <a:avLst/>
        </a:prstGeom>
        <a:solidFill>
          <a:schemeClr val="accent1"/>
        </a:solidFill>
        <a:effectLst>
          <a:outerShdw blurRad="50800" dist="38100" dir="2700000" algn="tl" rotWithShape="0">
            <a:prstClr val="black">
              <a:alpha val="3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t>👩‍👩‍👧‍👦</a:t>
          </a:r>
          <a:r>
            <a:rPr lang="en-US" sz="1800" b="1" i="0" u="none" strike="noStrike" baseline="0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t> </a:t>
          </a:r>
          <a:r>
            <a:rPr lang="en-US" sz="18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t>POPULATION</a:t>
          </a:r>
        </a:p>
        <a:p>
          <a:pPr algn="ctr"/>
          <a:fld id="{1362127F-6388-4E7F-8620-5A08491508AB}" type="TxLink">
            <a:rPr lang="en-US" sz="18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pPr algn="ctr"/>
            <a:t>1.4 B</a:t>
          </a:fld>
          <a:endParaRPr lang="en-IN" sz="1800" b="1">
            <a:solidFill>
              <a:schemeClr val="bg1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639509</xdr:colOff>
      <xdr:row>3</xdr:row>
      <xdr:rowOff>162355</xdr:rowOff>
    </xdr:from>
    <xdr:to>
      <xdr:col>9</xdr:col>
      <xdr:colOff>605640</xdr:colOff>
      <xdr:row>8</xdr:row>
      <xdr:rowOff>28148</xdr:rowOff>
    </xdr:to>
    <xdr:sp macro="" textlink="'Pivot Data'!A19">
      <xdr:nvSpPr>
        <xdr:cNvPr id="3" name="Rectangle: Rounded Corners 2">
          <a:extLst>
            <a:ext uri="{FF2B5EF4-FFF2-40B4-BE49-F238E27FC236}">
              <a16:creationId xmlns:a16="http://schemas.microsoft.com/office/drawing/2014/main" id="{95BE167C-CCE4-46E9-8EA9-1E89A62EFEC5}"/>
            </a:ext>
          </a:extLst>
        </xdr:cNvPr>
        <xdr:cNvSpPr/>
      </xdr:nvSpPr>
      <xdr:spPr>
        <a:xfrm>
          <a:off x="4014080" y="902584"/>
          <a:ext cx="2665789" cy="736650"/>
        </a:xfrm>
        <a:prstGeom prst="roundRect">
          <a:avLst/>
        </a:prstGeom>
        <a:solidFill>
          <a:schemeClr val="accent3"/>
        </a:solidFill>
        <a:effectLst>
          <a:outerShdw blurRad="50800" dist="38100" dir="2700000" algn="tl" rotWithShape="0">
            <a:prstClr val="black">
              <a:alpha val="3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t>💉TOTAL VACCINATION</a:t>
          </a:r>
        </a:p>
        <a:p>
          <a:pPr marL="0" indent="0" algn="ctr"/>
          <a:fld id="{04001027-1535-40AE-960C-0EE744D29878}" type="TxLink">
            <a:rPr lang="en-US" sz="18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pPr marL="0" indent="0" algn="ctr"/>
            <a:t>2.2 B</a:t>
          </a:fld>
          <a:endParaRPr lang="en-IN" sz="1800" b="1" i="0" u="none" strike="noStrike">
            <a:solidFill>
              <a:schemeClr val="bg1"/>
            </a:solidFill>
            <a:latin typeface="+mn-lt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347524</xdr:colOff>
      <xdr:row>4</xdr:row>
      <xdr:rowOff>27709</xdr:rowOff>
    </xdr:from>
    <xdr:to>
      <xdr:col>20</xdr:col>
      <xdr:colOff>356641</xdr:colOff>
      <xdr:row>8</xdr:row>
      <xdr:rowOff>28490</xdr:rowOff>
    </xdr:to>
    <xdr:sp macro="" textlink="'Pivot Data'!A15">
      <xdr:nvSpPr>
        <xdr:cNvPr id="4" name="Rectangle: Rounded Corners 3">
          <a:extLst>
            <a:ext uri="{FF2B5EF4-FFF2-40B4-BE49-F238E27FC236}">
              <a16:creationId xmlns:a16="http://schemas.microsoft.com/office/drawing/2014/main" id="{B5425F7B-2EAF-4A48-8BCC-EF148A3E1E73}"/>
            </a:ext>
          </a:extLst>
        </xdr:cNvPr>
        <xdr:cNvSpPr/>
      </xdr:nvSpPr>
      <xdr:spPr>
        <a:xfrm>
          <a:off x="11821067" y="942109"/>
          <a:ext cx="2033860" cy="697467"/>
        </a:xfrm>
        <a:prstGeom prst="roundRect">
          <a:avLst/>
        </a:prstGeom>
        <a:solidFill>
          <a:schemeClr val="accent5"/>
        </a:solidFill>
        <a:effectLst>
          <a:outerShdw blurRad="50800" dist="38100" dir="2700000" algn="tl" rotWithShape="0">
            <a:prstClr val="black">
              <a:alpha val="3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t>💊 PRECAUTION</a:t>
          </a:r>
        </a:p>
        <a:p>
          <a:pPr marL="0" indent="0" algn="ctr"/>
          <a:fld id="{EDD9B0D4-EB60-412A-9F7B-C34E15501FDD}" type="TxLink">
            <a:rPr lang="en-US" sz="18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pPr marL="0" indent="0" algn="ctr"/>
            <a:t>0.2 B</a:t>
          </a:fld>
          <a:endParaRPr lang="en-IN" sz="1800" b="1" i="0" u="none" strike="noStrike">
            <a:solidFill>
              <a:schemeClr val="bg1"/>
            </a:solidFill>
            <a:latin typeface="+mn-lt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78355</xdr:colOff>
      <xdr:row>3</xdr:row>
      <xdr:rowOff>172623</xdr:rowOff>
    </xdr:from>
    <xdr:to>
      <xdr:col>17</xdr:col>
      <xdr:colOff>25497</xdr:colOff>
      <xdr:row>8</xdr:row>
      <xdr:rowOff>38138</xdr:rowOff>
    </xdr:to>
    <xdr:sp macro="" textlink="'Pivot Data'!A11">
      <xdr:nvSpPr>
        <xdr:cNvPr id="5" name="Rectangle: Rounded Corners 4">
          <a:extLst>
            <a:ext uri="{FF2B5EF4-FFF2-40B4-BE49-F238E27FC236}">
              <a16:creationId xmlns:a16="http://schemas.microsoft.com/office/drawing/2014/main" id="{45707E77-C6D3-4B64-B2A2-11179ADC5EBF}"/>
            </a:ext>
          </a:extLst>
        </xdr:cNvPr>
        <xdr:cNvSpPr/>
      </xdr:nvSpPr>
      <xdr:spPr>
        <a:xfrm>
          <a:off x="9527155" y="912852"/>
          <a:ext cx="1971885" cy="736372"/>
        </a:xfrm>
        <a:prstGeom prst="roundRect">
          <a:avLst/>
        </a:prstGeom>
        <a:solidFill>
          <a:schemeClr val="accent6"/>
        </a:solidFill>
        <a:effectLst>
          <a:outerShdw blurRad="50800" dist="38100" dir="2700000" algn="tl" rotWithShape="0">
            <a:prstClr val="black">
              <a:alpha val="3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t>🧪 DOSE 2</a:t>
          </a:r>
        </a:p>
        <a:p>
          <a:pPr marL="0" indent="0" algn="ctr"/>
          <a:fld id="{ED6B15CA-EF33-40E9-997C-1E5FB468AA59}" type="TxLink">
            <a:rPr lang="en-US" sz="18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pPr marL="0" indent="0" algn="ctr"/>
            <a:t>0.9 B</a:t>
          </a:fld>
          <a:endParaRPr lang="en-IN" sz="1600" b="1" i="0" u="none" strike="noStrike">
            <a:solidFill>
              <a:schemeClr val="bg1"/>
            </a:solidFill>
            <a:latin typeface="+mn-lt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254705</xdr:colOff>
      <xdr:row>4</xdr:row>
      <xdr:rowOff>201</xdr:rowOff>
    </xdr:from>
    <xdr:to>
      <xdr:col>13</xdr:col>
      <xdr:colOff>203501</xdr:colOff>
      <xdr:row>8</xdr:row>
      <xdr:rowOff>39665</xdr:rowOff>
    </xdr:to>
    <xdr:sp macro="" textlink="'Pivot Data'!A7">
      <xdr:nvSpPr>
        <xdr:cNvPr id="6" name="Rectangle: Rounded Corners 5">
          <a:extLst>
            <a:ext uri="{FF2B5EF4-FFF2-40B4-BE49-F238E27FC236}">
              <a16:creationId xmlns:a16="http://schemas.microsoft.com/office/drawing/2014/main" id="{F707A235-0AC7-4A41-AF26-73EA6E9BB497}"/>
            </a:ext>
          </a:extLst>
        </xdr:cNvPr>
        <xdr:cNvSpPr/>
      </xdr:nvSpPr>
      <xdr:spPr>
        <a:xfrm>
          <a:off x="6904887" y="928456"/>
          <a:ext cx="1943850" cy="759900"/>
        </a:xfrm>
        <a:prstGeom prst="roundRect">
          <a:avLst/>
        </a:prstGeom>
        <a:solidFill>
          <a:srgbClr val="FFC000"/>
        </a:solidFill>
        <a:effectLst>
          <a:outerShdw blurRad="50800" dist="38100" dir="2700000" algn="tl" rotWithShape="0">
            <a:prstClr val="black">
              <a:alpha val="3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t>🧪DOSE 1</a:t>
          </a:r>
        </a:p>
        <a:p>
          <a:pPr marL="0" indent="0" algn="ctr"/>
          <a:fld id="{6A5AAFE5-BEDD-4BC1-8DA3-16758C6D418A}" type="TxLink">
            <a:rPr lang="en-US" sz="1800" b="1" i="0" u="none" strike="noStrike">
              <a:solidFill>
                <a:schemeClr val="bg1"/>
              </a:solidFill>
              <a:latin typeface="+mn-lt"/>
              <a:ea typeface="Calibri"/>
              <a:cs typeface="Segoe UI" panose="020B0502040204020203" pitchFamily="34" charset="0"/>
            </a:rPr>
            <a:pPr marL="0" indent="0" algn="ctr"/>
            <a:t>0.9 B</a:t>
          </a:fld>
          <a:endParaRPr lang="en-IN" sz="1600" b="1" i="0" u="none" strike="noStrike">
            <a:solidFill>
              <a:schemeClr val="bg1"/>
            </a:solidFill>
            <a:latin typeface="+mn-lt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466163</xdr:colOff>
      <xdr:row>9</xdr:row>
      <xdr:rowOff>161363</xdr:rowOff>
    </xdr:from>
    <xdr:to>
      <xdr:col>12</xdr:col>
      <xdr:colOff>318052</xdr:colOff>
      <xdr:row>26</xdr:row>
      <xdr:rowOff>166254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F1025A-B3E1-400F-BF72-FCD40FCF2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511628</xdr:colOff>
      <xdr:row>28</xdr:row>
      <xdr:rowOff>27709</xdr:rowOff>
    </xdr:from>
    <xdr:to>
      <xdr:col>12</xdr:col>
      <xdr:colOff>346362</xdr:colOff>
      <xdr:row>51</xdr:row>
      <xdr:rowOff>4948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5862CA-E7D4-4CBD-8102-46928CA46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597725</xdr:colOff>
      <xdr:row>28</xdr:row>
      <xdr:rowOff>32656</xdr:rowOff>
    </xdr:from>
    <xdr:to>
      <xdr:col>20</xdr:col>
      <xdr:colOff>609600</xdr:colOff>
      <xdr:row>51</xdr:row>
      <xdr:rowOff>26504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AC246A3-08D0-4D3F-90C0-D6E55AE41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478971</xdr:colOff>
      <xdr:row>52</xdr:row>
      <xdr:rowOff>69273</xdr:rowOff>
    </xdr:from>
    <xdr:to>
      <xdr:col>12</xdr:col>
      <xdr:colOff>415635</xdr:colOff>
      <xdr:row>73</xdr:row>
      <xdr:rowOff>65314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52850F3-1D32-45BD-9F3D-A65A0A56D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584858</xdr:colOff>
      <xdr:row>52</xdr:row>
      <xdr:rowOff>98612</xdr:rowOff>
    </xdr:from>
    <xdr:to>
      <xdr:col>20</xdr:col>
      <xdr:colOff>564776</xdr:colOff>
      <xdr:row>73</xdr:row>
      <xdr:rowOff>54429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F9E5F11-9E45-46C3-B278-89652250861A}"/>
            </a:ext>
          </a:extLst>
        </xdr:cNvPr>
        <xdr:cNvSpPr/>
      </xdr:nvSpPr>
      <xdr:spPr>
        <a:xfrm>
          <a:off x="8653093" y="9628094"/>
          <a:ext cx="5358742" cy="3720994"/>
        </a:xfrm>
        <a:prstGeom prst="roundRect">
          <a:avLst/>
        </a:prstGeom>
        <a:solidFill>
          <a:schemeClr val="bg1"/>
        </a:solidFill>
        <a:ln w="0">
          <a:solidFill>
            <a:schemeClr val="bg2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tx1"/>
              </a:solidFill>
            </a:rPr>
            <a:t>BUSINESS INSIGHTS</a:t>
          </a:r>
        </a:p>
        <a:p>
          <a:pPr algn="ctr"/>
          <a:endParaRPr lang="en-IN" sz="1800" b="1">
            <a:solidFill>
              <a:schemeClr val="accent1"/>
            </a:solidFill>
          </a:endParaRPr>
        </a:p>
        <a:p>
          <a:pPr algn="l"/>
          <a:r>
            <a:rPr lang="en-IN" sz="1600" b="1">
              <a:solidFill>
                <a:schemeClr val="accent1"/>
              </a:solidFill>
            </a:rPr>
            <a:t>📌 Uttar Pradesh administered the highest number</a:t>
          </a:r>
        </a:p>
        <a:p>
          <a:pPr algn="l"/>
          <a:r>
            <a:rPr lang="en-IN" sz="1600" b="1" baseline="0">
              <a:solidFill>
                <a:schemeClr val="accent1"/>
              </a:solidFill>
            </a:rPr>
            <a:t>      </a:t>
          </a:r>
          <a:r>
            <a:rPr lang="en-IN" sz="1600" b="1">
              <a:solidFill>
                <a:schemeClr val="accent1"/>
              </a:solidFill>
            </a:rPr>
            <a:t>of vaccine doses.</a:t>
          </a:r>
        </a:p>
        <a:p>
          <a:pPr algn="l"/>
          <a:endParaRPr lang="en-IN" sz="1600" b="1">
            <a:solidFill>
              <a:schemeClr val="accent1"/>
            </a:solidFill>
          </a:endParaRPr>
        </a:p>
        <a:p>
          <a:pPr algn="l"/>
          <a:r>
            <a:rPr lang="en-IN" sz="1600" b="1">
              <a:solidFill>
                <a:schemeClr val="accent1"/>
              </a:solidFill>
            </a:rPr>
            <a:t>📌 23 States achieved High Vaccination Coverage.</a:t>
          </a:r>
        </a:p>
        <a:p>
          <a:pPr algn="l"/>
          <a:endParaRPr lang="en-IN" sz="1600" b="1">
            <a:solidFill>
              <a:schemeClr val="accent1"/>
            </a:solidFill>
          </a:endParaRPr>
        </a:p>
        <a:p>
          <a:pPr algn="l"/>
          <a:r>
            <a:rPr lang="en-IN" sz="1600" b="1">
              <a:solidFill>
                <a:schemeClr val="accent1"/>
              </a:solidFill>
            </a:rPr>
            <a:t>📌 Precaution doses remain comparatively lower.</a:t>
          </a:r>
        </a:p>
        <a:p>
          <a:pPr algn="l"/>
          <a:endParaRPr lang="en-IN" sz="1600" b="1">
            <a:solidFill>
              <a:schemeClr val="accent1"/>
            </a:solidFill>
          </a:endParaRPr>
        </a:p>
        <a:p>
          <a:pPr algn="l"/>
          <a:r>
            <a:rPr lang="en-IN" sz="1600" b="1">
              <a:solidFill>
                <a:schemeClr val="accent1"/>
              </a:solidFill>
            </a:rPr>
            <a:t>📌 Vaccination strongly increases with population.</a:t>
          </a:r>
        </a:p>
        <a:p>
          <a:pPr algn="l"/>
          <a:endParaRPr lang="en-IN" sz="1600" b="1">
            <a:solidFill>
              <a:schemeClr val="accent1"/>
            </a:solidFill>
          </a:endParaRPr>
        </a:p>
        <a:p>
          <a:pPr algn="l"/>
          <a:r>
            <a:rPr lang="en-IN" sz="1600" b="1">
              <a:solidFill>
                <a:schemeClr val="accent1"/>
              </a:solidFill>
            </a:rPr>
            <a:t>📌 Southern states show consistently high</a:t>
          </a:r>
        </a:p>
        <a:p>
          <a:pPr algn="l"/>
          <a:r>
            <a:rPr lang="en-IN" sz="1600" b="1" baseline="0">
              <a:solidFill>
                <a:schemeClr val="accent1"/>
              </a:solidFill>
            </a:rPr>
            <a:t>       </a:t>
          </a:r>
          <a:r>
            <a:rPr lang="en-IN" sz="1600" b="1">
              <a:solidFill>
                <a:schemeClr val="accent1"/>
              </a:solidFill>
            </a:rPr>
            <a:t>coverage.</a:t>
          </a:r>
        </a:p>
      </xdr:txBody>
    </xdr:sp>
    <xdr:clientData/>
  </xdr:twoCellAnchor>
  <xdr:twoCellAnchor>
    <xdr:from>
      <xdr:col>12</xdr:col>
      <xdr:colOff>592778</xdr:colOff>
      <xdr:row>10</xdr:row>
      <xdr:rowOff>0</xdr:rowOff>
    </xdr:from>
    <xdr:to>
      <xdr:col>20</xdr:col>
      <xdr:colOff>555171</xdr:colOff>
      <xdr:row>26</xdr:row>
      <xdr:rowOff>128954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8075603-6454-406C-8C61-9195D6284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6241.515522569447" createdVersion="7" refreshedVersion="7" minRefreshableVersion="3" recordCount="36" xr:uid="{5B2B0A4E-675A-4BAF-9FC5-2BC5E06653A9}">
  <cacheSource type="worksheet">
    <worksheetSource name="Table1"/>
  </cacheSource>
  <cacheFields count="12">
    <cacheField name="State/UTs" numFmtId="0">
      <sharedItems count="36">
        <s v="Andaman And Nicobar"/>
        <s v="Andhra Pradesh"/>
        <s v="Arunachal Pradesh"/>
        <s v="Assam"/>
        <s v="Bihar"/>
        <s v="Chandigarh"/>
        <s v="Chhattisgarh"/>
        <s v="Dadra And Nagar Haveli And Daman And Diu"/>
        <s v="Delhi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Total Vaccination Doses" numFmtId="1">
      <sharedItems containsSemiMixedTypes="0" containsString="0" containsNumber="1" containsInteger="1" minValue="145313" maxValue="392011174"/>
    </cacheField>
    <cacheField name="Dose1" numFmtId="1">
      <sharedItems containsSemiMixedTypes="0" containsString="0" containsNumber="1" containsInteger="1" minValue="56914" maxValue="154096960"/>
    </cacheField>
    <cacheField name="Dose2" numFmtId="1">
      <sharedItems containsSemiMixedTypes="0" containsString="0" containsNumber="1" containsInteger="1" minValue="56019" maxValue="147866674"/>
    </cacheField>
    <cacheField name="Dose 1 15-18" numFmtId="1">
      <sharedItems containsSemiMixedTypes="0" containsString="0" containsNumber="1" containsInteger="1" minValue="2911" maxValue="14193665"/>
    </cacheField>
    <cacheField name="Dose 2 15-18" numFmtId="1">
      <sharedItems containsSemiMixedTypes="0" containsString="0" containsNumber="1" containsInteger="1" minValue="2782" maxValue="13227415"/>
    </cacheField>
    <cacheField name="Dose 1 12-14" numFmtId="1">
      <sharedItems containsSemiMixedTypes="0" containsString="0" containsNumber="1" containsInteger="1" minValue="1988" maxValue="8709857"/>
    </cacheField>
    <cacheField name="Dose 2 12-14" numFmtId="1">
      <sharedItems containsSemiMixedTypes="0" containsString="0" containsNumber="1" containsInteger="1" minValue="1724" maxValue="7876085"/>
    </cacheField>
    <cacheField name="Precaution 18-59" numFmtId="1">
      <sharedItems containsSemiMixedTypes="0" containsString="0" containsNumber="1" containsInteger="1" minValue="15990" maxValue="36643273"/>
    </cacheField>
    <cacheField name="Population" numFmtId="1">
      <sharedItems containsSemiMixedTypes="0" containsString="0" containsNumber="1" containsInteger="1" minValue="66001" maxValue="231502578"/>
    </cacheField>
    <cacheField name="Vaccination %" numFmtId="2">
      <sharedItems containsSemiMixedTypes="0" containsString="0" containsNumber="1" minValue="69.616603789999999" maxValue="248.43647010000001"/>
    </cacheField>
    <cacheField name="Vaccination Category" numFmtId="9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8042001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991264"/>
    <n v="313284"/>
    <n v="320383"/>
    <n v="19208"/>
    <n v="18860"/>
    <n v="15124"/>
    <n v="14042"/>
    <n v="236936"/>
    <n v="399001"/>
    <n v="248.43647010000001"/>
    <x v="0"/>
  </r>
  <r>
    <x v="1"/>
    <n v="110957430"/>
    <n v="40645695"/>
    <n v="43555744"/>
    <n v="2535344"/>
    <n v="2527613"/>
    <n v="1523375"/>
    <n v="1495445"/>
    <n v="12054868"/>
    <n v="91702478"/>
    <n v="120.9971992"/>
    <x v="1"/>
  </r>
  <r>
    <x v="2"/>
    <n v="1924584"/>
    <n v="861396"/>
    <n v="748505"/>
    <n v="59100"/>
    <n v="44869"/>
    <n v="40852"/>
    <n v="28445"/>
    <n v="81191"/>
    <n v="1711947"/>
    <n v="112.42077"/>
    <x v="1"/>
  </r>
  <r>
    <x v="3"/>
    <n v="50335778"/>
    <n v="22550941"/>
    <n v="20575569"/>
    <n v="1262520"/>
    <n v="972402"/>
    <n v="999552"/>
    <n v="602283"/>
    <n v="2108179"/>
    <n v="35998752"/>
    <n v="139.82645289999999"/>
    <x v="1"/>
  </r>
  <r>
    <x v="4"/>
    <n v="157293015"/>
    <n v="62956601"/>
    <n v="59160917"/>
    <n v="6240650"/>
    <n v="5348480"/>
    <n v="4288630"/>
    <n v="3403195"/>
    <n v="12022637"/>
    <n v="128500364"/>
    <n v="122.40666880000001"/>
    <x v="1"/>
  </r>
  <r>
    <x v="5"/>
    <n v="2291937"/>
    <n v="1090035"/>
    <n v="921251"/>
    <n v="57708"/>
    <n v="43907"/>
    <n v="38210"/>
    <n v="26050"/>
    <n v="51034"/>
    <n v="1158040"/>
    <n v="197.91518429999999"/>
    <x v="0"/>
  </r>
  <r>
    <x v="6"/>
    <n v="49167939"/>
    <n v="18956734"/>
    <n v="18537851"/>
    <n v="1234990"/>
    <n v="1053338"/>
    <n v="1076071"/>
    <n v="752571"/>
    <n v="5750424"/>
    <n v="32199722"/>
    <n v="152.69678099999999"/>
    <x v="0"/>
  </r>
  <r>
    <x v="7"/>
    <n v="1580060"/>
    <n v="730855"/>
    <n v="595090"/>
    <n v="31509"/>
    <n v="26943"/>
    <n v="19989"/>
    <n v="14929"/>
    <n v="138137"/>
    <n v="773997"/>
    <n v="204.14291009999999"/>
    <x v="0"/>
  </r>
  <r>
    <x v="8"/>
    <n v="37409355"/>
    <n v="16605099"/>
    <n v="14356077"/>
    <n v="1008977"/>
    <n v="870793"/>
    <n v="683771"/>
    <n v="490644"/>
    <n v="2337340"/>
    <n v="19301096"/>
    <n v="193.81984840000001"/>
    <x v="0"/>
  </r>
  <r>
    <x v="9"/>
    <n v="2874477"/>
    <n v="1355046"/>
    <n v="1224544"/>
    <n v="51734"/>
    <n v="44551"/>
    <n v="33265"/>
    <n v="26640"/>
    <n v="61965"/>
    <n v="1521992"/>
    <n v="188.86281930000001"/>
    <x v="0"/>
  </r>
  <r>
    <x v="10"/>
    <n v="128105565"/>
    <n v="49324964"/>
    <n v="49448078"/>
    <n v="3131906"/>
    <n v="2906693"/>
    <n v="1941624"/>
    <n v="1677874"/>
    <n v="13702810"/>
    <n v="70400153"/>
    <n v="181.96773659999999"/>
    <x v="0"/>
  </r>
  <r>
    <x v="11"/>
    <n v="45546800"/>
    <n v="21963352"/>
    <n v="18749584"/>
    <n v="1158529"/>
    <n v="771892"/>
    <n v="559947"/>
    <n v="327809"/>
    <n v="1306744"/>
    <n v="28900667"/>
    <n v="157.59774680000001"/>
    <x v="0"/>
  </r>
  <r>
    <x v="12"/>
    <n v="15325484"/>
    <n v="6042660"/>
    <n v="5783693"/>
    <n v="331826"/>
    <n v="309613"/>
    <n v="272064"/>
    <n v="235002"/>
    <n v="1520001"/>
    <n v="7503010"/>
    <n v="204.25781119999999"/>
    <x v="0"/>
  </r>
  <r>
    <x v="13"/>
    <n v="24782265"/>
    <n v="9942707"/>
    <n v="10388596"/>
    <n v="876049"/>
    <n v="861731"/>
    <n v="553845"/>
    <n v="517818"/>
    <n v="965200"/>
    <n v="14999397"/>
    <n v="165.22174190000001"/>
    <x v="0"/>
  </r>
  <r>
    <x v="14"/>
    <n v="43875944"/>
    <n v="21310378"/>
    <n v="16112704"/>
    <n v="1596112"/>
    <n v="1125458"/>
    <n v="1062630"/>
    <n v="622673"/>
    <n v="1371673"/>
    <n v="40100376"/>
    <n v="109.4152933"/>
    <x v="1"/>
  </r>
  <r>
    <x v="15"/>
    <n v="122152396"/>
    <n v="50032922"/>
    <n v="50520795"/>
    <n v="2816444"/>
    <n v="2719866"/>
    <n v="2325476"/>
    <n v="2151242"/>
    <n v="6718023"/>
    <n v="69599762"/>
    <n v="175.50691620000001"/>
    <x v="0"/>
  </r>
  <r>
    <x v="16"/>
    <n v="57511593"/>
    <n v="27017714"/>
    <n v="23803189"/>
    <n v="1322849"/>
    <n v="957271"/>
    <n v="810955"/>
    <n v="511981"/>
    <n v="869095"/>
    <n v="34698876"/>
    <n v="165.74482990000001"/>
    <x v="0"/>
  </r>
  <r>
    <x v="17"/>
    <n v="567133"/>
    <n v="219604"/>
    <n v="187095"/>
    <n v="10072"/>
    <n v="9261"/>
    <n v="8627"/>
    <n v="7758"/>
    <n v="70299"/>
    <n v="290492"/>
    <n v="195.23188250000001"/>
    <x v="0"/>
  </r>
  <r>
    <x v="18"/>
    <n v="145313"/>
    <n v="56914"/>
    <n v="56019"/>
    <n v="2911"/>
    <n v="2782"/>
    <n v="1988"/>
    <n v="1724"/>
    <n v="15990"/>
    <n v="66001"/>
    <n v="220.16787619999999"/>
    <x v="0"/>
  </r>
  <r>
    <x v="19"/>
    <n v="133940196"/>
    <n v="54143863"/>
    <n v="54061656"/>
    <n v="4194628"/>
    <n v="3472824"/>
    <n v="2410962"/>
    <n v="1698670"/>
    <n v="10127768"/>
    <n v="85002417"/>
    <n v="157.57222060000001"/>
    <x v="0"/>
  </r>
  <r>
    <x v="20"/>
    <n v="177977996"/>
    <n v="84665105"/>
    <n v="71650189"/>
    <n v="4119145"/>
    <n v="3108854"/>
    <n v="2891273"/>
    <n v="1870754"/>
    <n v="5188711"/>
    <n v="124904071"/>
    <n v="142.4917495"/>
    <x v="1"/>
  </r>
  <r>
    <x v="21"/>
    <n v="3269105"/>
    <n v="1464399"/>
    <n v="1226336"/>
    <n v="109652"/>
    <n v="68555"/>
    <n v="75418"/>
    <n v="44329"/>
    <n v="115059"/>
    <n v="3436948"/>
    <n v="95.116510349999999"/>
    <x v="2"/>
  </r>
  <r>
    <x v="22"/>
    <n v="2626010"/>
    <n v="1332466"/>
    <n v="1025463"/>
    <n v="77151"/>
    <n v="42858"/>
    <n v="37399"/>
    <n v="19556"/>
    <n v="33391"/>
    <n v="3772103"/>
    <n v="69.616603789999999"/>
    <x v="2"/>
  </r>
  <r>
    <x v="23"/>
    <n v="1793298"/>
    <n v="785860"/>
    <n v="669572"/>
    <n v="60098"/>
    <n v="47010"/>
    <n v="48360"/>
    <n v="33595"/>
    <n v="80888"/>
    <n v="1308967"/>
    <n v="137.0010092"/>
    <x v="1"/>
  </r>
  <r>
    <x v="24"/>
    <n v="1739837"/>
    <n v="837969"/>
    <n v="684747"/>
    <n v="59974"/>
    <n v="40347"/>
    <n v="26012"/>
    <n v="19889"/>
    <n v="26877"/>
    <n v="2073074"/>
    <n v="83.925465279999997"/>
    <x v="2"/>
  </r>
  <r>
    <x v="25"/>
    <n v="81545960"/>
    <n v="31454279"/>
    <n v="29961065"/>
    <n v="2195563"/>
    <n v="1844432"/>
    <n v="1601002"/>
    <n v="1206692"/>
    <n v="10069825"/>
    <n v="47099270"/>
    <n v="173.13635650000001"/>
    <x v="0"/>
  </r>
  <r>
    <x v="26"/>
    <n v="2274059"/>
    <n v="913046"/>
    <n v="802234"/>
    <n v="50694"/>
    <n v="44614"/>
    <n v="30873"/>
    <n v="21251"/>
    <n v="304200"/>
    <n v="1646050"/>
    <n v="138.15248629999999"/>
    <x v="1"/>
  </r>
  <r>
    <x v="27"/>
    <n v="47051166"/>
    <n v="22361633"/>
    <n v="19621018"/>
    <n v="1117510"/>
    <n v="878056"/>
    <n v="684148"/>
    <n v="497396"/>
    <n v="840406"/>
    <n v="30501026"/>
    <n v="154.26092879999999"/>
    <x v="0"/>
  </r>
  <r>
    <x v="28"/>
    <n v="115721511"/>
    <n v="51115413"/>
    <n v="46586810"/>
    <n v="3576045"/>
    <n v="2955043"/>
    <n v="2343976"/>
    <n v="1496833"/>
    <n v="4631834"/>
    <n v="79502477"/>
    <n v="145.55711389999999"/>
    <x v="1"/>
  </r>
  <r>
    <x v="29"/>
    <n v="1360477"/>
    <n v="539929"/>
    <n v="509134"/>
    <n v="30049"/>
    <n v="26515"/>
    <n v="21899"/>
    <n v="19007"/>
    <n v="158301"/>
    <n v="658019"/>
    <n v="206.75345239999999"/>
    <x v="0"/>
  </r>
  <r>
    <x v="30"/>
    <n v="127533904"/>
    <n v="56671366"/>
    <n v="53532301"/>
    <n v="2627751"/>
    <n v="2224043"/>
    <n v="1917151"/>
    <n v="1465291"/>
    <n v="6066180"/>
    <n v="83697770"/>
    <n v="152.37431530000001"/>
    <x v="0"/>
  </r>
  <r>
    <x v="31"/>
    <n v="77627542"/>
    <n v="29616909"/>
    <n v="29076857"/>
    <n v="1724095"/>
    <n v="1582421"/>
    <n v="1107824"/>
    <n v="906491"/>
    <n v="10860254"/>
    <n v="38157311"/>
    <n v="203.4408085"/>
    <x v="0"/>
  </r>
  <r>
    <x v="32"/>
    <n v="5918997"/>
    <n v="2659018"/>
    <n v="2328968"/>
    <n v="144833"/>
    <n v="115278"/>
    <n v="112965"/>
    <n v="79612"/>
    <n v="273061"/>
    <n v="4184959"/>
    <n v="141.4350057"/>
    <x v="1"/>
  </r>
  <r>
    <x v="33"/>
    <n v="392011174"/>
    <n v="154096960"/>
    <n v="147866674"/>
    <n v="14193665"/>
    <n v="13227415"/>
    <n v="8709857"/>
    <n v="7876085"/>
    <n v="36643273"/>
    <n v="231502578"/>
    <n v="169.33339459999999"/>
    <x v="0"/>
  </r>
  <r>
    <x v="34"/>
    <n v="20143654"/>
    <n v="8183361"/>
    <n v="7949246"/>
    <n v="532982"/>
    <n v="467836"/>
    <n v="402314"/>
    <n v="315985"/>
    <n v="1417182"/>
    <n v="11700099"/>
    <n v="172.1665261"/>
    <x v="0"/>
  </r>
  <r>
    <x v="35"/>
    <n v="156100370"/>
    <n v="67305396"/>
    <n v="61606895"/>
    <n v="3599987"/>
    <n v="3041540"/>
    <n v="2622505"/>
    <n v="2059418"/>
    <n v="10358494"/>
    <n v="100896618"/>
    <n v="154.713183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32E8C-7DA3-4F01-BC55-4F4BEA588362}" name="PivotTable1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49:H60" firstHeaderRow="1" firstDataRow="1" firstDataCol="1"/>
  <pivotFields count="12">
    <pivotField axis="axisRow" showAll="0" measureFilter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showAll="0"/>
  </pivotFields>
  <rowFields count="1">
    <field x="0"/>
  </rowFields>
  <rowItems count="11">
    <i>
      <x v="1"/>
    </i>
    <i>
      <x v="4"/>
    </i>
    <i>
      <x v="10"/>
    </i>
    <i>
      <x v="15"/>
    </i>
    <i>
      <x v="19"/>
    </i>
    <i>
      <x v="20"/>
    </i>
    <i>
      <x v="28"/>
    </i>
    <i>
      <x v="30"/>
    </i>
    <i>
      <x v="33"/>
    </i>
    <i>
      <x v="35"/>
    </i>
    <i t="grand">
      <x/>
    </i>
  </rowItems>
  <colItems count="1">
    <i/>
  </colItems>
  <dataFields count="1">
    <dataField name="Sum of Total Vaccination Doses" fld="1" baseField="0" baseItem="0"/>
  </dataFields>
  <formats count="3"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DE45E-CA9D-4375-BBF5-BC3875AF2937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12"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2" showAll="0"/>
    <pivotField showAll="0"/>
  </pivotFields>
  <rowItems count="1">
    <i/>
  </rowItems>
  <colItems count="1">
    <i/>
  </colItems>
  <dataFields count="1">
    <dataField name="Sum of Population" fld="9" baseField="0" baseItem="0" numFmtId="164"/>
  </dataFields>
  <formats count="4"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01019-7CDA-4BE8-AE94-19C4C58D1FD4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:A7" firstHeaderRow="1" firstDataRow="1" firstDataCol="0"/>
  <pivotFields count="12">
    <pivotField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showAll="0"/>
  </pivotFields>
  <rowItems count="1">
    <i/>
  </rowItems>
  <colItems count="1">
    <i/>
  </colItems>
  <dataFields count="1">
    <dataField name="Sum of Dose1" fld="2" baseField="0" baseItem="0" numFmtId="164"/>
  </dataFields>
  <formats count="4"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C5852-30C0-4135-9544-E974D3708AC9}" name="PivotTable8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G3:I14" firstHeaderRow="0" firstDataRow="1" firstDataCol="1"/>
  <pivotFields count="12">
    <pivotField axis="axisRow" showAll="0" measureFilter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2" showAll="0"/>
    <pivotField showAll="0"/>
  </pivotFields>
  <rowFields count="1">
    <field x="0"/>
  </rowFields>
  <rowItems count="11">
    <i>
      <x v="1"/>
    </i>
    <i>
      <x v="4"/>
    </i>
    <i>
      <x v="10"/>
    </i>
    <i>
      <x v="15"/>
    </i>
    <i>
      <x v="19"/>
    </i>
    <i>
      <x v="20"/>
    </i>
    <i>
      <x v="28"/>
    </i>
    <i>
      <x v="30"/>
    </i>
    <i>
      <x v="33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pulation" fld="9" baseField="0" baseItem="0"/>
    <dataField name="Sum of Total Vaccination Doses" fld="1" baseField="0" baseItem="0"/>
  </dataFields>
  <formats count="3">
    <format dxfId="55">
      <pivotArea type="all" dataOnly="0" outline="0" fieldPosition="0"/>
    </format>
    <format dxfId="54">
      <pivotArea outline="0" collapsedLevelsAreSubtotals="1" fieldPosition="0"/>
    </format>
    <format dxfId="5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162C7-571B-422D-A129-2E9C21DB3CC8}" name="PivotTable10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L3:M14" firstHeaderRow="1" firstDataRow="1" firstDataCol="1"/>
  <pivotFields count="12">
    <pivotField axis="axisRow" showAll="0" measureFilter="1" sortType="descending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2" showAll="0"/>
    <pivotField showAll="0"/>
  </pivotFields>
  <rowFields count="1">
    <field x="0"/>
  </rowFields>
  <rowItems count="11">
    <i>
      <x v="35"/>
    </i>
    <i>
      <x v="17"/>
    </i>
    <i>
      <x v="6"/>
    </i>
    <i>
      <x v="23"/>
    </i>
    <i>
      <x v="28"/>
    </i>
    <i>
      <x v="4"/>
    </i>
    <i>
      <x v="30"/>
    </i>
    <i>
      <x v="18"/>
    </i>
    <i>
      <x v="27"/>
    </i>
    <i>
      <x v="26"/>
    </i>
    <i t="grand">
      <x/>
    </i>
  </rowItems>
  <colItems count="1">
    <i/>
  </colItems>
  <dataFields count="1">
    <dataField name="Average of Vaccination %" fld="10" subtotal="average" baseField="0" baseItem="0" numFmtId="1"/>
  </dataFields>
  <formats count="4">
    <format dxfId="59">
      <pivotArea type="all" dataOnly="0" outline="0" fieldPosition="0"/>
    </format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C7F8D-08A3-4712-B4CB-B150FA871701}" name="PivotTable3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A11" firstHeaderRow="1" firstDataRow="1" firstDataCol="0"/>
  <pivotFields count="12">
    <pivotField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showAll="0"/>
  </pivotFields>
  <rowItems count="1">
    <i/>
  </rowItems>
  <colItems count="1">
    <i/>
  </colItems>
  <dataFields count="1">
    <dataField name="Sum of Dose2" fld="3" baseField="0" baseItem="0" numFmtId="164"/>
  </dataFields>
  <formats count="4"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35EC6-325F-48CE-BE41-891A2A3D570D}" name="PivotTable6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C3:D14" firstHeaderRow="1" firstDataRow="1" firstDataCol="1"/>
  <pivotFields count="12">
    <pivotField axis="axisRow" showAll="0" measureFilter="1" sortType="descending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showAll="0"/>
  </pivotFields>
  <rowFields count="1">
    <field x="0"/>
  </rowFields>
  <rowItems count="11">
    <i>
      <x v="33"/>
    </i>
    <i>
      <x v="20"/>
    </i>
    <i>
      <x v="4"/>
    </i>
    <i>
      <x v="35"/>
    </i>
    <i>
      <x v="19"/>
    </i>
    <i>
      <x v="10"/>
    </i>
    <i>
      <x v="30"/>
    </i>
    <i>
      <x v="15"/>
    </i>
    <i>
      <x v="28"/>
    </i>
    <i>
      <x v="1"/>
    </i>
    <i t="grand">
      <x/>
    </i>
  </rowItems>
  <colItems count="1">
    <i/>
  </colItems>
  <dataFields count="1">
    <dataField name="Sum of Total Vaccination Doses" fld="1" baseField="0" baseItem="0"/>
  </dataFields>
  <formats count="3"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D041A-9DA6-4C8F-9730-59BABFB14476}" name="PivotTable5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8:A19" firstHeaderRow="1" firstDataRow="1" firstDataCol="0"/>
  <pivotFields count="12">
    <pivotField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showAll="0"/>
  </pivotFields>
  <rowItems count="1">
    <i/>
  </rowItems>
  <colItems count="1">
    <i/>
  </colItems>
  <dataFields count="1">
    <dataField name="Sum of Total Vaccination Doses" fld="1" baseField="0" baseItem="0" numFmtId="164"/>
  </dataFields>
  <formats count="4"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4080D-0FCD-4347-9134-18C6EB5451C5}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A15" firstHeaderRow="1" firstDataRow="1" firstDataCol="0"/>
  <pivotFields count="12"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2" showAll="0"/>
    <pivotField showAll="0"/>
  </pivotFields>
  <rowItems count="1">
    <i/>
  </rowItems>
  <colItems count="1">
    <i/>
  </colItems>
  <dataFields count="1">
    <dataField name="Sum of Precaution 18-59" fld="8" baseField="0" baseItem="0" numFmtId="164"/>
  </dataFields>
  <formats count="4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19E39-DC54-46F6-9BD6-D3CDC49993AB}" name="PivotTable9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L74:M78" firstHeaderRow="1" firstDataRow="1" firstDataCol="1"/>
  <pivotFields count="12">
    <pivotField dataFiel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axis="axisRow" showAll="0">
      <items count="4">
        <item x="0"/>
        <item x="2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e/UTs" fld="0" subtotal="count" baseField="0" baseItem="0"/>
  </dataFields>
  <formats count="6"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</formats>
  <chartFormats count="4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E68BA-4D70-4409-B79E-2D4BD84E00EC}" name="PivotTable7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54:C65" firstHeaderRow="0" firstDataRow="1" firstDataCol="1"/>
  <pivotFields count="12">
    <pivotField axis="axisRow" showAll="0" measureFilter="1" sortType="descending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showAll="0"/>
  </pivotFields>
  <rowFields count="1">
    <field x="0"/>
  </rowFields>
  <rowItems count="11">
    <i>
      <x v="2"/>
    </i>
    <i>
      <x v="15"/>
    </i>
    <i>
      <x/>
    </i>
    <i>
      <x v="31"/>
    </i>
    <i>
      <x v="5"/>
    </i>
    <i>
      <x v="16"/>
    </i>
    <i>
      <x v="7"/>
    </i>
    <i>
      <x v="20"/>
    </i>
    <i>
      <x v="25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se1" fld="2" baseField="0" baseItem="0"/>
    <dataField name="Sum of Dose2" fld="3" baseField="0" baseItem="0"/>
  </dataFields>
  <formats count="3"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7" totalsRowShown="0" headerRowDxfId="97" dataDxfId="96">
  <autoFilter ref="A1:L37" xr:uid="{00000000-0009-0000-0100-000001000000}"/>
  <tableColumns count="12">
    <tableColumn id="1" xr3:uid="{00000000-0010-0000-0000-000001000000}" name="State/UTs" dataDxfId="95"/>
    <tableColumn id="2" xr3:uid="{00000000-0010-0000-0000-000002000000}" name="Total Vaccination Doses" dataDxfId="94"/>
    <tableColumn id="3" xr3:uid="{00000000-0010-0000-0000-000003000000}" name="Dose1" dataDxfId="93"/>
    <tableColumn id="4" xr3:uid="{00000000-0010-0000-0000-000004000000}" name="Dose2" dataDxfId="92"/>
    <tableColumn id="5" xr3:uid="{00000000-0010-0000-0000-000005000000}" name="Dose 1 15-18" dataDxfId="91"/>
    <tableColumn id="6" xr3:uid="{00000000-0010-0000-0000-000006000000}" name="Dose 2 15-18" dataDxfId="90"/>
    <tableColumn id="7" xr3:uid="{00000000-0010-0000-0000-000007000000}" name="Dose 1 12-14" dataDxfId="89"/>
    <tableColumn id="8" xr3:uid="{00000000-0010-0000-0000-000008000000}" name="Dose 2 12-14" dataDxfId="88"/>
    <tableColumn id="9" xr3:uid="{00000000-0010-0000-0000-000009000000}" name="Precaution 18-59" dataDxfId="87"/>
    <tableColumn id="10" xr3:uid="{00000000-0010-0000-0000-00000A000000}" name="Population" dataDxfId="86"/>
    <tableColumn id="11" xr3:uid="{00000000-0010-0000-0000-00000B000000}" name="Vaccination %" dataDxfId="85"/>
    <tableColumn id="12" xr3:uid="{C45B7E22-A650-47DE-B896-C5BD529716C3}" name="Vaccination Category" dataDxfId="84" dataCellStyle="Percent">
      <calculatedColumnFormula>IF(Table1[[#This Row],[Vaccination %]]&gt;=150,"High",IF(Table1[[#This Row],[Vaccination %]]&gt;100,"Medium","Low"))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ctr">
          <a:defRPr sz="3600" b="1">
            <a:solidFill>
              <a:schemeClr val="bg1"/>
            </a:solidFill>
          </a:defRPr>
        </a:defPPr>
      </a:lstStyle>
      <a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zoomScale="85" zoomScaleNormal="85" workbookViewId="0">
      <selection activeCell="O15" sqref="O15"/>
    </sheetView>
  </sheetViews>
  <sheetFormatPr defaultRowHeight="14.4" x14ac:dyDescent="0.3"/>
  <cols>
    <col min="1" max="1" width="8.796875" style="1"/>
    <col min="2" max="4" width="9.296875" style="1" bestFit="1" customWidth="1"/>
    <col min="5" max="9" width="8.8984375" style="1" bestFit="1" customWidth="1"/>
    <col min="10" max="10" width="9.296875" style="1" bestFit="1" customWidth="1"/>
    <col min="11" max="11" width="8.8984375" style="1" bestFit="1" customWidth="1"/>
    <col min="12" max="16384" width="8.796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>
        <v>991264</v>
      </c>
      <c r="C2" s="1">
        <v>313284</v>
      </c>
      <c r="D2" s="1">
        <v>320383</v>
      </c>
      <c r="E2" s="1">
        <v>19208</v>
      </c>
      <c r="F2" s="1">
        <v>18860</v>
      </c>
      <c r="G2" s="1">
        <v>15124</v>
      </c>
      <c r="H2" s="1">
        <v>14042</v>
      </c>
      <c r="I2" s="1">
        <v>236936</v>
      </c>
      <c r="J2" s="1">
        <v>399001</v>
      </c>
      <c r="K2" s="1">
        <v>248.43647010000001</v>
      </c>
    </row>
    <row r="3" spans="1:11" x14ac:dyDescent="0.3">
      <c r="A3" s="1" t="s">
        <v>12</v>
      </c>
      <c r="B3" s="1">
        <v>110957430</v>
      </c>
      <c r="C3" s="1">
        <v>40645695</v>
      </c>
      <c r="D3" s="1">
        <v>43555744</v>
      </c>
      <c r="E3" s="1">
        <v>2535344</v>
      </c>
      <c r="F3" s="1">
        <v>2527613</v>
      </c>
      <c r="G3" s="1">
        <v>1523375</v>
      </c>
      <c r="H3" s="1">
        <v>1495445</v>
      </c>
      <c r="I3" s="1">
        <v>12054868</v>
      </c>
      <c r="J3" s="1">
        <v>91702478</v>
      </c>
      <c r="K3" s="1">
        <v>120.9971992</v>
      </c>
    </row>
    <row r="4" spans="1:11" x14ac:dyDescent="0.3">
      <c r="A4" s="1" t="s">
        <v>13</v>
      </c>
      <c r="B4" s="1">
        <v>1924584</v>
      </c>
      <c r="C4" s="1">
        <v>861396</v>
      </c>
      <c r="D4" s="1">
        <v>748505</v>
      </c>
      <c r="E4" s="1">
        <v>59100</v>
      </c>
      <c r="F4" s="1">
        <v>44869</v>
      </c>
      <c r="G4" s="1">
        <v>40852</v>
      </c>
      <c r="H4" s="1">
        <v>28445</v>
      </c>
      <c r="I4" s="1">
        <v>81191</v>
      </c>
      <c r="J4" s="1">
        <v>1711947</v>
      </c>
      <c r="K4" s="1">
        <v>112.42077</v>
      </c>
    </row>
    <row r="5" spans="1:11" x14ac:dyDescent="0.3">
      <c r="A5" s="1" t="s">
        <v>14</v>
      </c>
      <c r="B5" s="1">
        <v>50335778</v>
      </c>
      <c r="C5" s="1">
        <v>22550941</v>
      </c>
      <c r="D5" s="1">
        <v>20575569</v>
      </c>
      <c r="E5" s="1">
        <v>1262520</v>
      </c>
      <c r="F5" s="1">
        <v>972402</v>
      </c>
      <c r="G5" s="1">
        <v>999552</v>
      </c>
      <c r="H5" s="1">
        <v>602283</v>
      </c>
      <c r="I5" s="1">
        <v>2108179</v>
      </c>
      <c r="J5" s="1">
        <v>35998752</v>
      </c>
      <c r="K5" s="1">
        <v>139.82645289999999</v>
      </c>
    </row>
    <row r="6" spans="1:11" x14ac:dyDescent="0.3">
      <c r="A6" s="1" t="s">
        <v>15</v>
      </c>
      <c r="B6" s="1">
        <v>157293015</v>
      </c>
      <c r="C6" s="1">
        <v>62956601</v>
      </c>
      <c r="D6" s="1">
        <v>59160917</v>
      </c>
      <c r="E6" s="1">
        <v>6240650</v>
      </c>
      <c r="F6" s="1">
        <v>5348480</v>
      </c>
      <c r="G6" s="1">
        <v>4288630</v>
      </c>
      <c r="H6" s="1">
        <v>3403195</v>
      </c>
      <c r="I6" s="1">
        <v>12022637</v>
      </c>
      <c r="J6" s="1">
        <v>128500364</v>
      </c>
      <c r="K6" s="1">
        <v>122.40666880000001</v>
      </c>
    </row>
    <row r="7" spans="1:11" x14ac:dyDescent="0.3">
      <c r="A7" s="1" t="s">
        <v>16</v>
      </c>
      <c r="B7" s="1">
        <v>2291937</v>
      </c>
      <c r="C7" s="1">
        <v>1090035</v>
      </c>
      <c r="D7" s="1">
        <v>921251</v>
      </c>
      <c r="E7" s="1">
        <v>57708</v>
      </c>
      <c r="F7" s="1">
        <v>43907</v>
      </c>
      <c r="G7" s="1">
        <v>38210</v>
      </c>
      <c r="H7" s="1">
        <v>26050</v>
      </c>
      <c r="I7" s="1">
        <v>51034</v>
      </c>
      <c r="J7" s="1">
        <v>1158040</v>
      </c>
      <c r="K7" s="1">
        <v>197.91518429999999</v>
      </c>
    </row>
    <row r="8" spans="1:11" x14ac:dyDescent="0.3">
      <c r="A8" s="1" t="s">
        <v>17</v>
      </c>
      <c r="B8" s="1">
        <v>49167939</v>
      </c>
      <c r="C8" s="1">
        <v>18956734</v>
      </c>
      <c r="D8" s="1">
        <v>18537851</v>
      </c>
      <c r="E8" s="1">
        <v>1234990</v>
      </c>
      <c r="F8" s="1">
        <v>1053338</v>
      </c>
      <c r="G8" s="1">
        <v>1076071</v>
      </c>
      <c r="H8" s="1">
        <v>752571</v>
      </c>
      <c r="I8" s="1">
        <v>5750424</v>
      </c>
      <c r="J8" s="1">
        <v>32199722</v>
      </c>
      <c r="K8" s="1">
        <v>152.69678099999999</v>
      </c>
    </row>
    <row r="9" spans="1:11" x14ac:dyDescent="0.3">
      <c r="A9" s="1" t="s">
        <v>18</v>
      </c>
      <c r="B9" s="1">
        <v>1580060</v>
      </c>
      <c r="C9" s="1">
        <v>730855</v>
      </c>
      <c r="D9" s="1">
        <v>595090</v>
      </c>
      <c r="E9" s="1">
        <v>31509</v>
      </c>
      <c r="F9" s="1">
        <v>26943</v>
      </c>
      <c r="G9" s="1">
        <v>19989</v>
      </c>
      <c r="H9" s="1">
        <v>14929</v>
      </c>
      <c r="I9" s="1">
        <v>138137</v>
      </c>
      <c r="J9" s="1">
        <v>773997</v>
      </c>
      <c r="K9" s="1">
        <v>204.14291009999999</v>
      </c>
    </row>
    <row r="10" spans="1:11" x14ac:dyDescent="0.3">
      <c r="A10" s="1" t="s">
        <v>19</v>
      </c>
      <c r="B10" s="1">
        <v>37409355</v>
      </c>
      <c r="C10" s="1">
        <v>16605099</v>
      </c>
      <c r="D10" s="1">
        <v>14356077</v>
      </c>
      <c r="E10" s="1">
        <v>1008977</v>
      </c>
      <c r="F10" s="1">
        <v>870793</v>
      </c>
      <c r="G10" s="1">
        <v>683771</v>
      </c>
      <c r="H10" s="1">
        <v>490644</v>
      </c>
      <c r="I10" s="1">
        <v>2337340</v>
      </c>
      <c r="J10" s="1">
        <v>19301096</v>
      </c>
      <c r="K10" s="1">
        <v>193.81984840000001</v>
      </c>
    </row>
    <row r="11" spans="1:11" x14ac:dyDescent="0.3">
      <c r="A11" s="1" t="s">
        <v>20</v>
      </c>
      <c r="B11" s="1">
        <v>2874477</v>
      </c>
      <c r="C11" s="1">
        <v>1355046</v>
      </c>
      <c r="D11" s="1">
        <v>1224544</v>
      </c>
      <c r="E11" s="1">
        <v>51734</v>
      </c>
      <c r="F11" s="1">
        <v>44551</v>
      </c>
      <c r="G11" s="1">
        <v>33265</v>
      </c>
      <c r="H11" s="1">
        <v>26640</v>
      </c>
      <c r="I11" s="1">
        <v>61965</v>
      </c>
      <c r="J11" s="1">
        <v>1521992</v>
      </c>
      <c r="K11" s="1">
        <v>188.86281930000001</v>
      </c>
    </row>
    <row r="12" spans="1:11" x14ac:dyDescent="0.3">
      <c r="A12" s="1" t="s">
        <v>21</v>
      </c>
      <c r="B12" s="1">
        <v>128105565</v>
      </c>
      <c r="C12" s="1">
        <v>49324964</v>
      </c>
      <c r="D12" s="1">
        <v>49448078</v>
      </c>
      <c r="E12" s="1">
        <v>3131906</v>
      </c>
      <c r="F12" s="1">
        <v>2906693</v>
      </c>
      <c r="G12" s="1">
        <v>1941624</v>
      </c>
      <c r="H12" s="1">
        <v>1677874</v>
      </c>
      <c r="I12" s="1">
        <v>13702810</v>
      </c>
      <c r="J12" s="1">
        <v>70400153</v>
      </c>
      <c r="K12" s="1">
        <v>181.96773659999999</v>
      </c>
    </row>
    <row r="13" spans="1:11" x14ac:dyDescent="0.3">
      <c r="A13" s="1" t="s">
        <v>22</v>
      </c>
      <c r="B13" s="1">
        <v>45546800</v>
      </c>
      <c r="C13" s="1">
        <v>21963352</v>
      </c>
      <c r="D13" s="1">
        <v>18749584</v>
      </c>
      <c r="E13" s="1">
        <v>1158529</v>
      </c>
      <c r="F13" s="1">
        <v>771892</v>
      </c>
      <c r="G13" s="1">
        <v>559947</v>
      </c>
      <c r="H13" s="1">
        <v>327809</v>
      </c>
      <c r="I13" s="1">
        <v>1306744</v>
      </c>
      <c r="J13" s="1">
        <v>28900667</v>
      </c>
      <c r="K13" s="1">
        <v>157.59774680000001</v>
      </c>
    </row>
    <row r="14" spans="1:11" x14ac:dyDescent="0.3">
      <c r="A14" s="1" t="s">
        <v>23</v>
      </c>
      <c r="B14" s="1">
        <v>15325484</v>
      </c>
      <c r="C14" s="1">
        <v>6042660</v>
      </c>
      <c r="D14" s="1">
        <v>5783693</v>
      </c>
      <c r="E14" s="1">
        <v>331826</v>
      </c>
      <c r="F14" s="1">
        <v>309613</v>
      </c>
      <c r="G14" s="1">
        <v>272064</v>
      </c>
      <c r="H14" s="1">
        <v>235002</v>
      </c>
      <c r="I14" s="1">
        <v>1520001</v>
      </c>
      <c r="J14" s="1">
        <v>7503010</v>
      </c>
      <c r="K14" s="1">
        <v>204.25781119999999</v>
      </c>
    </row>
    <row r="15" spans="1:11" x14ac:dyDescent="0.3">
      <c r="A15" s="1" t="s">
        <v>24</v>
      </c>
      <c r="B15" s="1">
        <v>24782265</v>
      </c>
      <c r="C15" s="1">
        <v>9942707</v>
      </c>
      <c r="D15" s="1">
        <v>10388596</v>
      </c>
      <c r="E15" s="1">
        <v>876049</v>
      </c>
      <c r="F15" s="1">
        <v>861731</v>
      </c>
      <c r="G15" s="1">
        <v>553845</v>
      </c>
      <c r="H15" s="1">
        <v>517818</v>
      </c>
      <c r="I15" s="1">
        <v>965200</v>
      </c>
      <c r="J15" s="1">
        <v>14999397</v>
      </c>
      <c r="K15" s="1">
        <v>165.22174190000001</v>
      </c>
    </row>
    <row r="16" spans="1:11" x14ac:dyDescent="0.3">
      <c r="A16" s="1" t="s">
        <v>25</v>
      </c>
      <c r="B16" s="1">
        <v>43875944</v>
      </c>
      <c r="C16" s="1">
        <v>21310378</v>
      </c>
      <c r="D16" s="1">
        <v>16112704</v>
      </c>
      <c r="E16" s="1">
        <v>1596112</v>
      </c>
      <c r="F16" s="1">
        <v>1125458</v>
      </c>
      <c r="G16" s="1">
        <v>1062630</v>
      </c>
      <c r="H16" s="1">
        <v>622673</v>
      </c>
      <c r="I16" s="1">
        <v>1371673</v>
      </c>
      <c r="J16" s="1">
        <v>40100376</v>
      </c>
      <c r="K16" s="1">
        <v>109.4152933</v>
      </c>
    </row>
    <row r="17" spans="1:11" x14ac:dyDescent="0.3">
      <c r="A17" s="1" t="s">
        <v>26</v>
      </c>
      <c r="B17" s="1">
        <v>122152396</v>
      </c>
      <c r="C17" s="1">
        <v>50032922</v>
      </c>
      <c r="D17" s="1">
        <v>50520795</v>
      </c>
      <c r="E17" s="1">
        <v>2816444</v>
      </c>
      <c r="F17" s="1">
        <v>2719866</v>
      </c>
      <c r="G17" s="1">
        <v>2325476</v>
      </c>
      <c r="H17" s="1">
        <v>2151242</v>
      </c>
      <c r="I17" s="1">
        <v>6718023</v>
      </c>
      <c r="J17" s="1">
        <v>69599762</v>
      </c>
      <c r="K17" s="1">
        <v>175.50691620000001</v>
      </c>
    </row>
    <row r="18" spans="1:11" x14ac:dyDescent="0.3">
      <c r="A18" s="1" t="s">
        <v>27</v>
      </c>
      <c r="B18" s="1">
        <v>57511593</v>
      </c>
      <c r="C18" s="1">
        <v>27017714</v>
      </c>
      <c r="D18" s="1">
        <v>23803189</v>
      </c>
      <c r="E18" s="1">
        <v>1322849</v>
      </c>
      <c r="F18" s="1">
        <v>957271</v>
      </c>
      <c r="G18" s="1">
        <v>810955</v>
      </c>
      <c r="H18" s="1">
        <v>511981</v>
      </c>
      <c r="I18" s="1">
        <v>869095</v>
      </c>
      <c r="J18" s="1">
        <v>34698876</v>
      </c>
      <c r="K18" s="1">
        <v>165.74482990000001</v>
      </c>
    </row>
    <row r="19" spans="1:11" x14ac:dyDescent="0.3">
      <c r="A19" s="1" t="s">
        <v>28</v>
      </c>
      <c r="B19" s="1">
        <v>567133</v>
      </c>
      <c r="C19" s="1">
        <v>219604</v>
      </c>
      <c r="D19" s="1">
        <v>187095</v>
      </c>
      <c r="E19" s="1">
        <v>10072</v>
      </c>
      <c r="F19" s="1">
        <v>9261</v>
      </c>
      <c r="G19" s="1">
        <v>8627</v>
      </c>
      <c r="H19" s="1">
        <v>7758</v>
      </c>
      <c r="I19" s="1">
        <v>70299</v>
      </c>
      <c r="J19" s="1">
        <v>290492</v>
      </c>
      <c r="K19" s="1">
        <v>195.23188250000001</v>
      </c>
    </row>
    <row r="20" spans="1:11" x14ac:dyDescent="0.3">
      <c r="A20" s="1" t="s">
        <v>29</v>
      </c>
      <c r="B20" s="1">
        <v>145313</v>
      </c>
      <c r="C20" s="1">
        <v>56914</v>
      </c>
      <c r="D20" s="1">
        <v>56019</v>
      </c>
      <c r="E20" s="1">
        <v>2911</v>
      </c>
      <c r="F20" s="1">
        <v>2782</v>
      </c>
      <c r="G20" s="1">
        <v>1988</v>
      </c>
      <c r="H20" s="1">
        <v>1724</v>
      </c>
      <c r="I20" s="1">
        <v>15990</v>
      </c>
      <c r="J20" s="1">
        <v>66001</v>
      </c>
      <c r="K20" s="1">
        <v>220.16787619999999</v>
      </c>
    </row>
    <row r="21" spans="1:11" x14ac:dyDescent="0.3">
      <c r="A21" s="1" t="s">
        <v>30</v>
      </c>
      <c r="B21" s="1">
        <v>133940196</v>
      </c>
      <c r="C21" s="1">
        <v>54143863</v>
      </c>
      <c r="D21" s="1">
        <v>54061656</v>
      </c>
      <c r="E21" s="1">
        <v>4194628</v>
      </c>
      <c r="F21" s="1">
        <v>3472824</v>
      </c>
      <c r="G21" s="1">
        <v>2410962</v>
      </c>
      <c r="H21" s="1">
        <v>1698670</v>
      </c>
      <c r="I21" s="1">
        <v>10127768</v>
      </c>
      <c r="J21" s="1">
        <v>85002417</v>
      </c>
      <c r="K21" s="1">
        <v>157.57222060000001</v>
      </c>
    </row>
    <row r="22" spans="1:11" x14ac:dyDescent="0.3">
      <c r="A22" s="1" t="s">
        <v>31</v>
      </c>
      <c r="B22" s="1">
        <v>177977996</v>
      </c>
      <c r="C22" s="1">
        <v>84665105</v>
      </c>
      <c r="D22" s="1">
        <v>71650189</v>
      </c>
      <c r="E22" s="1">
        <v>4119145</v>
      </c>
      <c r="F22" s="1">
        <v>3108854</v>
      </c>
      <c r="G22" s="1">
        <v>2891273</v>
      </c>
      <c r="H22" s="1">
        <v>1870754</v>
      </c>
      <c r="I22" s="1">
        <v>5188711</v>
      </c>
      <c r="J22" s="1">
        <v>124904071</v>
      </c>
      <c r="K22" s="1">
        <v>142.4917495</v>
      </c>
    </row>
    <row r="23" spans="1:11" x14ac:dyDescent="0.3">
      <c r="A23" s="1" t="s">
        <v>32</v>
      </c>
      <c r="B23" s="1">
        <v>3269105</v>
      </c>
      <c r="C23" s="1">
        <v>1464399</v>
      </c>
      <c r="D23" s="1">
        <v>1226336</v>
      </c>
      <c r="E23" s="1">
        <v>109652</v>
      </c>
      <c r="F23" s="1">
        <v>68555</v>
      </c>
      <c r="G23" s="1">
        <v>75418</v>
      </c>
      <c r="H23" s="1">
        <v>44329</v>
      </c>
      <c r="I23" s="1">
        <v>115059</v>
      </c>
      <c r="J23" s="1">
        <v>3436948</v>
      </c>
      <c r="K23" s="1">
        <v>95.116510349999999</v>
      </c>
    </row>
    <row r="24" spans="1:11" x14ac:dyDescent="0.3">
      <c r="A24" s="1" t="s">
        <v>33</v>
      </c>
      <c r="B24" s="1">
        <v>2626010</v>
      </c>
      <c r="C24" s="1">
        <v>1332466</v>
      </c>
      <c r="D24" s="1">
        <v>1025463</v>
      </c>
      <c r="E24" s="1">
        <v>77151</v>
      </c>
      <c r="F24" s="1">
        <v>42858</v>
      </c>
      <c r="G24" s="1">
        <v>37399</v>
      </c>
      <c r="H24" s="1">
        <v>19556</v>
      </c>
      <c r="I24" s="1">
        <v>33391</v>
      </c>
      <c r="J24" s="1">
        <v>3772103</v>
      </c>
      <c r="K24" s="1">
        <v>69.616603789999999</v>
      </c>
    </row>
    <row r="25" spans="1:11" x14ac:dyDescent="0.3">
      <c r="A25" s="1" t="s">
        <v>34</v>
      </c>
      <c r="B25" s="1">
        <v>1793298</v>
      </c>
      <c r="C25" s="1">
        <v>785860</v>
      </c>
      <c r="D25" s="1">
        <v>669572</v>
      </c>
      <c r="E25" s="1">
        <v>60098</v>
      </c>
      <c r="F25" s="1">
        <v>47010</v>
      </c>
      <c r="G25" s="1">
        <v>48360</v>
      </c>
      <c r="H25" s="1">
        <v>33595</v>
      </c>
      <c r="I25" s="1">
        <v>80888</v>
      </c>
      <c r="J25" s="1">
        <v>1308967</v>
      </c>
      <c r="K25" s="1">
        <v>137.0010092</v>
      </c>
    </row>
    <row r="26" spans="1:11" x14ac:dyDescent="0.3">
      <c r="A26" s="1" t="s">
        <v>35</v>
      </c>
      <c r="B26" s="1">
        <v>1739837</v>
      </c>
      <c r="C26" s="1">
        <v>837969</v>
      </c>
      <c r="D26" s="1">
        <v>684747</v>
      </c>
      <c r="E26" s="1">
        <v>59974</v>
      </c>
      <c r="F26" s="1">
        <v>40347</v>
      </c>
      <c r="G26" s="1">
        <v>26012</v>
      </c>
      <c r="H26" s="1">
        <v>19889</v>
      </c>
      <c r="I26" s="1">
        <v>26877</v>
      </c>
      <c r="J26" s="1">
        <v>2073074</v>
      </c>
      <c r="K26" s="1">
        <v>83.925465279999997</v>
      </c>
    </row>
    <row r="27" spans="1:11" x14ac:dyDescent="0.3">
      <c r="A27" s="1" t="s">
        <v>36</v>
      </c>
      <c r="B27" s="1">
        <v>81545960</v>
      </c>
      <c r="C27" s="1">
        <v>31454279</v>
      </c>
      <c r="D27" s="1">
        <v>29961065</v>
      </c>
      <c r="E27" s="1">
        <v>2195563</v>
      </c>
      <c r="F27" s="1">
        <v>1844432</v>
      </c>
      <c r="G27" s="1">
        <v>1601002</v>
      </c>
      <c r="H27" s="1">
        <v>1206692</v>
      </c>
      <c r="I27" s="1">
        <v>10069825</v>
      </c>
      <c r="J27" s="1">
        <v>47099270</v>
      </c>
      <c r="K27" s="1">
        <v>173.13635650000001</v>
      </c>
    </row>
    <row r="28" spans="1:11" x14ac:dyDescent="0.3">
      <c r="A28" s="1" t="s">
        <v>37</v>
      </c>
      <c r="B28" s="1">
        <v>2274059</v>
      </c>
      <c r="C28" s="1">
        <v>913046</v>
      </c>
      <c r="D28" s="1">
        <v>802234</v>
      </c>
      <c r="E28" s="1">
        <v>50694</v>
      </c>
      <c r="F28" s="1">
        <v>44614</v>
      </c>
      <c r="G28" s="1">
        <v>30873</v>
      </c>
      <c r="H28" s="1">
        <v>21251</v>
      </c>
      <c r="I28" s="1">
        <v>304200</v>
      </c>
      <c r="J28" s="1">
        <v>1646050</v>
      </c>
      <c r="K28" s="1">
        <v>138.15248629999999</v>
      </c>
    </row>
    <row r="29" spans="1:11" x14ac:dyDescent="0.3">
      <c r="A29" s="1" t="s">
        <v>38</v>
      </c>
      <c r="B29" s="1">
        <v>47051166</v>
      </c>
      <c r="C29" s="1">
        <v>22361633</v>
      </c>
      <c r="D29" s="1">
        <v>19621018</v>
      </c>
      <c r="E29" s="1">
        <v>1117510</v>
      </c>
      <c r="F29" s="1">
        <v>878056</v>
      </c>
      <c r="G29" s="1">
        <v>684148</v>
      </c>
      <c r="H29" s="1">
        <v>497396</v>
      </c>
      <c r="I29" s="1">
        <v>840406</v>
      </c>
      <c r="J29" s="1">
        <v>30501026</v>
      </c>
      <c r="K29" s="1">
        <v>154.26092879999999</v>
      </c>
    </row>
    <row r="30" spans="1:11" x14ac:dyDescent="0.3">
      <c r="A30" s="1" t="s">
        <v>39</v>
      </c>
      <c r="B30" s="1">
        <v>115721511</v>
      </c>
      <c r="C30" s="1">
        <v>51115413</v>
      </c>
      <c r="D30" s="1">
        <v>46586810</v>
      </c>
      <c r="E30" s="1">
        <v>3576045</v>
      </c>
      <c r="F30" s="1">
        <v>2955043</v>
      </c>
      <c r="G30" s="1">
        <v>2343976</v>
      </c>
      <c r="H30" s="1">
        <v>1496833</v>
      </c>
      <c r="I30" s="1">
        <v>4631834</v>
      </c>
      <c r="J30" s="1">
        <v>79502477</v>
      </c>
      <c r="K30" s="1">
        <v>145.55711389999999</v>
      </c>
    </row>
    <row r="31" spans="1:11" x14ac:dyDescent="0.3">
      <c r="A31" s="1" t="s">
        <v>40</v>
      </c>
      <c r="B31" s="1">
        <v>1360477</v>
      </c>
      <c r="C31" s="1">
        <v>539929</v>
      </c>
      <c r="D31" s="1">
        <v>509134</v>
      </c>
      <c r="E31" s="1">
        <v>30049</v>
      </c>
      <c r="F31" s="1">
        <v>26515</v>
      </c>
      <c r="G31" s="1">
        <v>21899</v>
      </c>
      <c r="H31" s="1">
        <v>19007</v>
      </c>
      <c r="I31" s="1">
        <v>158301</v>
      </c>
      <c r="J31" s="1">
        <v>658019</v>
      </c>
      <c r="K31" s="1">
        <v>206.75345239999999</v>
      </c>
    </row>
    <row r="32" spans="1:11" x14ac:dyDescent="0.3">
      <c r="A32" s="1" t="s">
        <v>41</v>
      </c>
      <c r="B32" s="1">
        <v>127533904</v>
      </c>
      <c r="C32" s="1">
        <v>56671366</v>
      </c>
      <c r="D32" s="1">
        <v>53532301</v>
      </c>
      <c r="E32" s="1">
        <v>2627751</v>
      </c>
      <c r="F32" s="1">
        <v>2224043</v>
      </c>
      <c r="G32" s="1">
        <v>1917151</v>
      </c>
      <c r="H32" s="1">
        <v>1465291</v>
      </c>
      <c r="I32" s="1">
        <v>6066180</v>
      </c>
      <c r="J32" s="1">
        <v>83697770</v>
      </c>
      <c r="K32" s="1">
        <v>152.37431530000001</v>
      </c>
    </row>
    <row r="33" spans="1:11" x14ac:dyDescent="0.3">
      <c r="A33" s="1" t="s">
        <v>42</v>
      </c>
      <c r="B33" s="1">
        <v>77627542</v>
      </c>
      <c r="C33" s="1">
        <v>29616909</v>
      </c>
      <c r="D33" s="1">
        <v>29076857</v>
      </c>
      <c r="E33" s="1">
        <v>1724095</v>
      </c>
      <c r="F33" s="1">
        <v>1582421</v>
      </c>
      <c r="G33" s="1">
        <v>1107824</v>
      </c>
      <c r="H33" s="1">
        <v>906491</v>
      </c>
      <c r="I33" s="1">
        <v>10860254</v>
      </c>
      <c r="J33" s="1">
        <v>38157311</v>
      </c>
      <c r="K33" s="1">
        <v>203.4408085</v>
      </c>
    </row>
    <row r="34" spans="1:11" x14ac:dyDescent="0.3">
      <c r="A34" s="1" t="s">
        <v>43</v>
      </c>
      <c r="B34" s="1">
        <v>5918997</v>
      </c>
      <c r="C34" s="1">
        <v>2659018</v>
      </c>
      <c r="D34" s="1">
        <v>2328968</v>
      </c>
      <c r="E34" s="1">
        <v>144833</v>
      </c>
      <c r="F34" s="1">
        <v>115278</v>
      </c>
      <c r="G34" s="1">
        <v>112965</v>
      </c>
      <c r="H34" s="1">
        <v>79612</v>
      </c>
      <c r="I34" s="1">
        <v>273061</v>
      </c>
      <c r="J34" s="1">
        <v>4184959</v>
      </c>
      <c r="K34" s="1">
        <v>141.4350057</v>
      </c>
    </row>
    <row r="35" spans="1:11" x14ac:dyDescent="0.3">
      <c r="A35" s="1" t="s">
        <v>44</v>
      </c>
      <c r="B35" s="1">
        <v>392011174</v>
      </c>
      <c r="C35" s="1">
        <v>154096960</v>
      </c>
      <c r="D35" s="1">
        <v>147866674</v>
      </c>
      <c r="E35" s="1">
        <v>14193665</v>
      </c>
      <c r="F35" s="1">
        <v>13227415</v>
      </c>
      <c r="G35" s="1">
        <v>8709857</v>
      </c>
      <c r="H35" s="1">
        <v>7876085</v>
      </c>
      <c r="I35" s="1">
        <v>36643273</v>
      </c>
      <c r="J35" s="1">
        <v>231502578</v>
      </c>
      <c r="K35" s="1">
        <v>169.33339459999999</v>
      </c>
    </row>
    <row r="36" spans="1:11" x14ac:dyDescent="0.3">
      <c r="A36" s="1" t="s">
        <v>45</v>
      </c>
      <c r="B36" s="1">
        <v>20143654</v>
      </c>
      <c r="C36" s="1">
        <v>8183361</v>
      </c>
      <c r="D36" s="1">
        <v>7949246</v>
      </c>
      <c r="E36" s="1">
        <v>532982</v>
      </c>
      <c r="F36" s="1">
        <v>467836</v>
      </c>
      <c r="G36" s="1">
        <v>402314</v>
      </c>
      <c r="H36" s="1">
        <v>315985</v>
      </c>
      <c r="I36" s="1">
        <v>1417182</v>
      </c>
      <c r="J36" s="1">
        <v>11700099</v>
      </c>
      <c r="K36" s="1">
        <v>172.1665261</v>
      </c>
    </row>
    <row r="37" spans="1:11" x14ac:dyDescent="0.3">
      <c r="A37" s="1" t="s">
        <v>46</v>
      </c>
      <c r="B37" s="1">
        <v>156100370</v>
      </c>
      <c r="C37" s="1">
        <v>67305396</v>
      </c>
      <c r="D37" s="1">
        <v>61606895</v>
      </c>
      <c r="E37" s="1">
        <v>3599987</v>
      </c>
      <c r="F37" s="1">
        <v>3041540</v>
      </c>
      <c r="G37" s="1">
        <v>2622505</v>
      </c>
      <c r="H37" s="1">
        <v>2059418</v>
      </c>
      <c r="I37" s="1">
        <v>10358494</v>
      </c>
      <c r="J37" s="1">
        <v>100896618</v>
      </c>
      <c r="K37" s="1">
        <v>154.7131837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topLeftCell="E1" zoomScale="70" zoomScaleNormal="70" workbookViewId="0">
      <selection activeCell="M1" sqref="M1:M1048576"/>
    </sheetView>
  </sheetViews>
  <sheetFormatPr defaultRowHeight="14.4" x14ac:dyDescent="0.3"/>
  <cols>
    <col min="1" max="1" width="17.796875" style="1" customWidth="1"/>
    <col min="2" max="2" width="23.296875" style="2" customWidth="1"/>
    <col min="3" max="4" width="12.796875" style="2" customWidth="1"/>
    <col min="5" max="8" width="13.796875" style="2" customWidth="1"/>
    <col min="9" max="9" width="17.5" style="2" customWidth="1"/>
    <col min="10" max="10" width="13.3984375" style="2" customWidth="1"/>
    <col min="11" max="11" width="14.8984375" style="3" customWidth="1"/>
    <col min="12" max="12" width="11" style="4" customWidth="1"/>
    <col min="13" max="16384" width="8.796875" style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47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48</v>
      </c>
    </row>
    <row r="2" spans="1:12" x14ac:dyDescent="0.3">
      <c r="A2" s="1" t="s">
        <v>11</v>
      </c>
      <c r="B2" s="2">
        <v>991264</v>
      </c>
      <c r="C2" s="2">
        <v>313284</v>
      </c>
      <c r="D2" s="2">
        <v>320383</v>
      </c>
      <c r="E2" s="2">
        <v>19208</v>
      </c>
      <c r="F2" s="2">
        <v>18860</v>
      </c>
      <c r="G2" s="2">
        <v>15124</v>
      </c>
      <c r="H2" s="2">
        <v>14042</v>
      </c>
      <c r="I2" s="2">
        <v>236936</v>
      </c>
      <c r="J2" s="2">
        <v>399001</v>
      </c>
      <c r="K2" s="5">
        <v>248.43647010000001</v>
      </c>
      <c r="L2" s="4" t="str">
        <f>IF(Table1[[#This Row],[Vaccination %]]&gt;=150,"High",IF(Table1[[#This Row],[Vaccination %]]&gt;100,"Medium","Low"))</f>
        <v>High</v>
      </c>
    </row>
    <row r="3" spans="1:12" x14ac:dyDescent="0.3">
      <c r="A3" s="1" t="s">
        <v>12</v>
      </c>
      <c r="B3" s="2">
        <v>110957430</v>
      </c>
      <c r="C3" s="2">
        <v>40645695</v>
      </c>
      <c r="D3" s="2">
        <v>43555744</v>
      </c>
      <c r="E3" s="2">
        <v>2535344</v>
      </c>
      <c r="F3" s="2">
        <v>2527613</v>
      </c>
      <c r="G3" s="2">
        <v>1523375</v>
      </c>
      <c r="H3" s="2">
        <v>1495445</v>
      </c>
      <c r="I3" s="2">
        <v>12054868</v>
      </c>
      <c r="J3" s="2">
        <v>91702478</v>
      </c>
      <c r="K3" s="5">
        <v>120.9971992</v>
      </c>
      <c r="L3" s="4" t="str">
        <f>IF(Table1[[#This Row],[Vaccination %]]&gt;=150,"High",IF(Table1[[#This Row],[Vaccination %]]&gt;100,"Medium","Low"))</f>
        <v>Medium</v>
      </c>
    </row>
    <row r="4" spans="1:12" x14ac:dyDescent="0.3">
      <c r="A4" s="1" t="s">
        <v>13</v>
      </c>
      <c r="B4" s="2">
        <v>1924584</v>
      </c>
      <c r="C4" s="2">
        <v>861396</v>
      </c>
      <c r="D4" s="2">
        <v>748505</v>
      </c>
      <c r="E4" s="2">
        <v>59100</v>
      </c>
      <c r="F4" s="2">
        <v>44869</v>
      </c>
      <c r="G4" s="2">
        <v>40852</v>
      </c>
      <c r="H4" s="2">
        <v>28445</v>
      </c>
      <c r="I4" s="2">
        <v>81191</v>
      </c>
      <c r="J4" s="2">
        <v>1711947</v>
      </c>
      <c r="K4" s="5">
        <v>112.42077</v>
      </c>
      <c r="L4" s="4" t="str">
        <f>IF(Table1[[#This Row],[Vaccination %]]&gt;=150,"High",IF(Table1[[#This Row],[Vaccination %]]&gt;100,"Medium","Low"))</f>
        <v>Medium</v>
      </c>
    </row>
    <row r="5" spans="1:12" x14ac:dyDescent="0.3">
      <c r="A5" s="1" t="s">
        <v>14</v>
      </c>
      <c r="B5" s="2">
        <v>50335778</v>
      </c>
      <c r="C5" s="2">
        <v>22550941</v>
      </c>
      <c r="D5" s="2">
        <v>20575569</v>
      </c>
      <c r="E5" s="2">
        <v>1262520</v>
      </c>
      <c r="F5" s="2">
        <v>972402</v>
      </c>
      <c r="G5" s="2">
        <v>999552</v>
      </c>
      <c r="H5" s="2">
        <v>602283</v>
      </c>
      <c r="I5" s="2">
        <v>2108179</v>
      </c>
      <c r="J5" s="2">
        <v>35998752</v>
      </c>
      <c r="K5" s="5">
        <v>139.82645289999999</v>
      </c>
      <c r="L5" s="4" t="str">
        <f>IF(Table1[[#This Row],[Vaccination %]]&gt;=150,"High",IF(Table1[[#This Row],[Vaccination %]]&gt;100,"Medium","Low"))</f>
        <v>Medium</v>
      </c>
    </row>
    <row r="6" spans="1:12" x14ac:dyDescent="0.3">
      <c r="A6" s="1" t="s">
        <v>15</v>
      </c>
      <c r="B6" s="2">
        <v>157293015</v>
      </c>
      <c r="C6" s="2">
        <v>62956601</v>
      </c>
      <c r="D6" s="2">
        <v>59160917</v>
      </c>
      <c r="E6" s="2">
        <v>6240650</v>
      </c>
      <c r="F6" s="2">
        <v>5348480</v>
      </c>
      <c r="G6" s="2">
        <v>4288630</v>
      </c>
      <c r="H6" s="2">
        <v>3403195</v>
      </c>
      <c r="I6" s="2">
        <v>12022637</v>
      </c>
      <c r="J6" s="2">
        <v>128500364</v>
      </c>
      <c r="K6" s="5">
        <v>122.40666880000001</v>
      </c>
      <c r="L6" s="4" t="str">
        <f>IF(Table1[[#This Row],[Vaccination %]]&gt;=150,"High",IF(Table1[[#This Row],[Vaccination %]]&gt;100,"Medium","Low"))</f>
        <v>Medium</v>
      </c>
    </row>
    <row r="7" spans="1:12" x14ac:dyDescent="0.3">
      <c r="A7" s="1" t="s">
        <v>16</v>
      </c>
      <c r="B7" s="2">
        <v>2291937</v>
      </c>
      <c r="C7" s="2">
        <v>1090035</v>
      </c>
      <c r="D7" s="2">
        <v>921251</v>
      </c>
      <c r="E7" s="2">
        <v>57708</v>
      </c>
      <c r="F7" s="2">
        <v>43907</v>
      </c>
      <c r="G7" s="2">
        <v>38210</v>
      </c>
      <c r="H7" s="2">
        <v>26050</v>
      </c>
      <c r="I7" s="2">
        <v>51034</v>
      </c>
      <c r="J7" s="2">
        <v>1158040</v>
      </c>
      <c r="K7" s="5">
        <v>197.91518429999999</v>
      </c>
      <c r="L7" s="4" t="str">
        <f>IF(Table1[[#This Row],[Vaccination %]]&gt;=150,"High",IF(Table1[[#This Row],[Vaccination %]]&gt;100,"Medium","Low"))</f>
        <v>High</v>
      </c>
    </row>
    <row r="8" spans="1:12" x14ac:dyDescent="0.3">
      <c r="A8" s="1" t="s">
        <v>17</v>
      </c>
      <c r="B8" s="2">
        <v>49167939</v>
      </c>
      <c r="C8" s="2">
        <v>18956734</v>
      </c>
      <c r="D8" s="2">
        <v>18537851</v>
      </c>
      <c r="E8" s="2">
        <v>1234990</v>
      </c>
      <c r="F8" s="2">
        <v>1053338</v>
      </c>
      <c r="G8" s="2">
        <v>1076071</v>
      </c>
      <c r="H8" s="2">
        <v>752571</v>
      </c>
      <c r="I8" s="2">
        <v>5750424</v>
      </c>
      <c r="J8" s="2">
        <v>32199722</v>
      </c>
      <c r="K8" s="5">
        <v>152.69678099999999</v>
      </c>
      <c r="L8" s="4" t="str">
        <f>IF(Table1[[#This Row],[Vaccination %]]&gt;=150,"High",IF(Table1[[#This Row],[Vaccination %]]&gt;100,"Medium","Low"))</f>
        <v>High</v>
      </c>
    </row>
    <row r="9" spans="1:12" x14ac:dyDescent="0.3">
      <c r="A9" s="1" t="s">
        <v>18</v>
      </c>
      <c r="B9" s="2">
        <v>1580060</v>
      </c>
      <c r="C9" s="2">
        <v>730855</v>
      </c>
      <c r="D9" s="2">
        <v>595090</v>
      </c>
      <c r="E9" s="2">
        <v>31509</v>
      </c>
      <c r="F9" s="2">
        <v>26943</v>
      </c>
      <c r="G9" s="2">
        <v>19989</v>
      </c>
      <c r="H9" s="2">
        <v>14929</v>
      </c>
      <c r="I9" s="2">
        <v>138137</v>
      </c>
      <c r="J9" s="2">
        <v>773997</v>
      </c>
      <c r="K9" s="5">
        <v>204.14291009999999</v>
      </c>
      <c r="L9" s="4" t="str">
        <f>IF(Table1[[#This Row],[Vaccination %]]&gt;=150,"High",IF(Table1[[#This Row],[Vaccination %]]&gt;100,"Medium","Low"))</f>
        <v>High</v>
      </c>
    </row>
    <row r="10" spans="1:12" x14ac:dyDescent="0.3">
      <c r="A10" s="1" t="s">
        <v>19</v>
      </c>
      <c r="B10" s="2">
        <v>37409355</v>
      </c>
      <c r="C10" s="2">
        <v>16605099</v>
      </c>
      <c r="D10" s="2">
        <v>14356077</v>
      </c>
      <c r="E10" s="2">
        <v>1008977</v>
      </c>
      <c r="F10" s="2">
        <v>870793</v>
      </c>
      <c r="G10" s="2">
        <v>683771</v>
      </c>
      <c r="H10" s="2">
        <v>490644</v>
      </c>
      <c r="I10" s="2">
        <v>2337340</v>
      </c>
      <c r="J10" s="2">
        <v>19301096</v>
      </c>
      <c r="K10" s="5">
        <v>193.81984840000001</v>
      </c>
      <c r="L10" s="4" t="str">
        <f>IF(Table1[[#This Row],[Vaccination %]]&gt;=150,"High",IF(Table1[[#This Row],[Vaccination %]]&gt;100,"Medium","Low"))</f>
        <v>High</v>
      </c>
    </row>
    <row r="11" spans="1:12" x14ac:dyDescent="0.3">
      <c r="A11" s="1" t="s">
        <v>20</v>
      </c>
      <c r="B11" s="2">
        <v>2874477</v>
      </c>
      <c r="C11" s="2">
        <v>1355046</v>
      </c>
      <c r="D11" s="2">
        <v>1224544</v>
      </c>
      <c r="E11" s="2">
        <v>51734</v>
      </c>
      <c r="F11" s="2">
        <v>44551</v>
      </c>
      <c r="G11" s="2">
        <v>33265</v>
      </c>
      <c r="H11" s="2">
        <v>26640</v>
      </c>
      <c r="I11" s="2">
        <v>61965</v>
      </c>
      <c r="J11" s="2">
        <v>1521992</v>
      </c>
      <c r="K11" s="5">
        <v>188.86281930000001</v>
      </c>
      <c r="L11" s="4" t="str">
        <f>IF(Table1[[#This Row],[Vaccination %]]&gt;=150,"High",IF(Table1[[#This Row],[Vaccination %]]&gt;100,"Medium","Low"))</f>
        <v>High</v>
      </c>
    </row>
    <row r="12" spans="1:12" x14ac:dyDescent="0.3">
      <c r="A12" s="1" t="s">
        <v>21</v>
      </c>
      <c r="B12" s="2">
        <v>128105565</v>
      </c>
      <c r="C12" s="2">
        <v>49324964</v>
      </c>
      <c r="D12" s="2">
        <v>49448078</v>
      </c>
      <c r="E12" s="2">
        <v>3131906</v>
      </c>
      <c r="F12" s="2">
        <v>2906693</v>
      </c>
      <c r="G12" s="2">
        <v>1941624</v>
      </c>
      <c r="H12" s="2">
        <v>1677874</v>
      </c>
      <c r="I12" s="2">
        <v>13702810</v>
      </c>
      <c r="J12" s="2">
        <v>70400153</v>
      </c>
      <c r="K12" s="5">
        <v>181.96773659999999</v>
      </c>
      <c r="L12" s="4" t="str">
        <f>IF(Table1[[#This Row],[Vaccination %]]&gt;=150,"High",IF(Table1[[#This Row],[Vaccination %]]&gt;100,"Medium","Low"))</f>
        <v>High</v>
      </c>
    </row>
    <row r="13" spans="1:12" x14ac:dyDescent="0.3">
      <c r="A13" s="1" t="s">
        <v>22</v>
      </c>
      <c r="B13" s="2">
        <v>45546800</v>
      </c>
      <c r="C13" s="2">
        <v>21963352</v>
      </c>
      <c r="D13" s="2">
        <v>18749584</v>
      </c>
      <c r="E13" s="2">
        <v>1158529</v>
      </c>
      <c r="F13" s="2">
        <v>771892</v>
      </c>
      <c r="G13" s="2">
        <v>559947</v>
      </c>
      <c r="H13" s="2">
        <v>327809</v>
      </c>
      <c r="I13" s="2">
        <v>1306744</v>
      </c>
      <c r="J13" s="2">
        <v>28900667</v>
      </c>
      <c r="K13" s="5">
        <v>157.59774680000001</v>
      </c>
      <c r="L13" s="4" t="str">
        <f>IF(Table1[[#This Row],[Vaccination %]]&gt;=150,"High",IF(Table1[[#This Row],[Vaccination %]]&gt;100,"Medium","Low"))</f>
        <v>High</v>
      </c>
    </row>
    <row r="14" spans="1:12" x14ac:dyDescent="0.3">
      <c r="A14" s="1" t="s">
        <v>23</v>
      </c>
      <c r="B14" s="2">
        <v>15325484</v>
      </c>
      <c r="C14" s="2">
        <v>6042660</v>
      </c>
      <c r="D14" s="2">
        <v>5783693</v>
      </c>
      <c r="E14" s="2">
        <v>331826</v>
      </c>
      <c r="F14" s="2">
        <v>309613</v>
      </c>
      <c r="G14" s="2">
        <v>272064</v>
      </c>
      <c r="H14" s="2">
        <v>235002</v>
      </c>
      <c r="I14" s="2">
        <v>1520001</v>
      </c>
      <c r="J14" s="2">
        <v>7503010</v>
      </c>
      <c r="K14" s="5">
        <v>204.25781119999999</v>
      </c>
      <c r="L14" s="4" t="str">
        <f>IF(Table1[[#This Row],[Vaccination %]]&gt;=150,"High",IF(Table1[[#This Row],[Vaccination %]]&gt;100,"Medium","Low"))</f>
        <v>High</v>
      </c>
    </row>
    <row r="15" spans="1:12" x14ac:dyDescent="0.3">
      <c r="A15" s="1" t="s">
        <v>24</v>
      </c>
      <c r="B15" s="2">
        <v>24782265</v>
      </c>
      <c r="C15" s="2">
        <v>9942707</v>
      </c>
      <c r="D15" s="2">
        <v>10388596</v>
      </c>
      <c r="E15" s="2">
        <v>876049</v>
      </c>
      <c r="F15" s="2">
        <v>861731</v>
      </c>
      <c r="G15" s="2">
        <v>553845</v>
      </c>
      <c r="H15" s="2">
        <v>517818</v>
      </c>
      <c r="I15" s="2">
        <v>965200</v>
      </c>
      <c r="J15" s="2">
        <v>14999397</v>
      </c>
      <c r="K15" s="5">
        <v>165.22174190000001</v>
      </c>
      <c r="L15" s="4" t="str">
        <f>IF(Table1[[#This Row],[Vaccination %]]&gt;=150,"High",IF(Table1[[#This Row],[Vaccination %]]&gt;100,"Medium","Low"))</f>
        <v>High</v>
      </c>
    </row>
    <row r="16" spans="1:12" x14ac:dyDescent="0.3">
      <c r="A16" s="1" t="s">
        <v>25</v>
      </c>
      <c r="B16" s="2">
        <v>43875944</v>
      </c>
      <c r="C16" s="2">
        <v>21310378</v>
      </c>
      <c r="D16" s="2">
        <v>16112704</v>
      </c>
      <c r="E16" s="2">
        <v>1596112</v>
      </c>
      <c r="F16" s="2">
        <v>1125458</v>
      </c>
      <c r="G16" s="2">
        <v>1062630</v>
      </c>
      <c r="H16" s="2">
        <v>622673</v>
      </c>
      <c r="I16" s="2">
        <v>1371673</v>
      </c>
      <c r="J16" s="2">
        <v>40100376</v>
      </c>
      <c r="K16" s="5">
        <v>109.4152933</v>
      </c>
      <c r="L16" s="4" t="str">
        <f>IF(Table1[[#This Row],[Vaccination %]]&gt;=150,"High",IF(Table1[[#This Row],[Vaccination %]]&gt;100,"Medium","Low"))</f>
        <v>Medium</v>
      </c>
    </row>
    <row r="17" spans="1:12" x14ac:dyDescent="0.3">
      <c r="A17" s="1" t="s">
        <v>26</v>
      </c>
      <c r="B17" s="2">
        <v>122152396</v>
      </c>
      <c r="C17" s="2">
        <v>50032922</v>
      </c>
      <c r="D17" s="2">
        <v>50520795</v>
      </c>
      <c r="E17" s="2">
        <v>2816444</v>
      </c>
      <c r="F17" s="2">
        <v>2719866</v>
      </c>
      <c r="G17" s="2">
        <v>2325476</v>
      </c>
      <c r="H17" s="2">
        <v>2151242</v>
      </c>
      <c r="I17" s="2">
        <v>6718023</v>
      </c>
      <c r="J17" s="2">
        <v>69599762</v>
      </c>
      <c r="K17" s="5">
        <v>175.50691620000001</v>
      </c>
      <c r="L17" s="4" t="str">
        <f>IF(Table1[[#This Row],[Vaccination %]]&gt;=150,"High",IF(Table1[[#This Row],[Vaccination %]]&gt;100,"Medium","Low"))</f>
        <v>High</v>
      </c>
    </row>
    <row r="18" spans="1:12" x14ac:dyDescent="0.3">
      <c r="A18" s="1" t="s">
        <v>27</v>
      </c>
      <c r="B18" s="2">
        <v>57511593</v>
      </c>
      <c r="C18" s="2">
        <v>27017714</v>
      </c>
      <c r="D18" s="2">
        <v>23803189</v>
      </c>
      <c r="E18" s="2">
        <v>1322849</v>
      </c>
      <c r="F18" s="2">
        <v>957271</v>
      </c>
      <c r="G18" s="2">
        <v>810955</v>
      </c>
      <c r="H18" s="2">
        <v>511981</v>
      </c>
      <c r="I18" s="2">
        <v>869095</v>
      </c>
      <c r="J18" s="2">
        <v>34698876</v>
      </c>
      <c r="K18" s="5">
        <v>165.74482990000001</v>
      </c>
      <c r="L18" s="4" t="str">
        <f>IF(Table1[[#This Row],[Vaccination %]]&gt;=150,"High",IF(Table1[[#This Row],[Vaccination %]]&gt;100,"Medium","Low"))</f>
        <v>High</v>
      </c>
    </row>
    <row r="19" spans="1:12" x14ac:dyDescent="0.3">
      <c r="A19" s="1" t="s">
        <v>28</v>
      </c>
      <c r="B19" s="2">
        <v>567133</v>
      </c>
      <c r="C19" s="2">
        <v>219604</v>
      </c>
      <c r="D19" s="2">
        <v>187095</v>
      </c>
      <c r="E19" s="2">
        <v>10072</v>
      </c>
      <c r="F19" s="2">
        <v>9261</v>
      </c>
      <c r="G19" s="2">
        <v>8627</v>
      </c>
      <c r="H19" s="2">
        <v>7758</v>
      </c>
      <c r="I19" s="2">
        <v>70299</v>
      </c>
      <c r="J19" s="2">
        <v>290492</v>
      </c>
      <c r="K19" s="5">
        <v>195.23188250000001</v>
      </c>
      <c r="L19" s="4" t="str">
        <f>IF(Table1[[#This Row],[Vaccination %]]&gt;=150,"High",IF(Table1[[#This Row],[Vaccination %]]&gt;100,"Medium","Low"))</f>
        <v>High</v>
      </c>
    </row>
    <row r="20" spans="1:12" x14ac:dyDescent="0.3">
      <c r="A20" s="1" t="s">
        <v>29</v>
      </c>
      <c r="B20" s="2">
        <v>145313</v>
      </c>
      <c r="C20" s="2">
        <v>56914</v>
      </c>
      <c r="D20" s="2">
        <v>56019</v>
      </c>
      <c r="E20" s="2">
        <v>2911</v>
      </c>
      <c r="F20" s="2">
        <v>2782</v>
      </c>
      <c r="G20" s="2">
        <v>1988</v>
      </c>
      <c r="H20" s="2">
        <v>1724</v>
      </c>
      <c r="I20" s="2">
        <v>15990</v>
      </c>
      <c r="J20" s="2">
        <v>66001</v>
      </c>
      <c r="K20" s="5">
        <v>220.16787619999999</v>
      </c>
      <c r="L20" s="4" t="str">
        <f>IF(Table1[[#This Row],[Vaccination %]]&gt;=150,"High",IF(Table1[[#This Row],[Vaccination %]]&gt;100,"Medium","Low"))</f>
        <v>High</v>
      </c>
    </row>
    <row r="21" spans="1:12" x14ac:dyDescent="0.3">
      <c r="A21" s="1" t="s">
        <v>30</v>
      </c>
      <c r="B21" s="2">
        <v>133940196</v>
      </c>
      <c r="C21" s="2">
        <v>54143863</v>
      </c>
      <c r="D21" s="2">
        <v>54061656</v>
      </c>
      <c r="E21" s="2">
        <v>4194628</v>
      </c>
      <c r="F21" s="2">
        <v>3472824</v>
      </c>
      <c r="G21" s="2">
        <v>2410962</v>
      </c>
      <c r="H21" s="2">
        <v>1698670</v>
      </c>
      <c r="I21" s="2">
        <v>10127768</v>
      </c>
      <c r="J21" s="2">
        <v>85002417</v>
      </c>
      <c r="K21" s="5">
        <v>157.57222060000001</v>
      </c>
      <c r="L21" s="4" t="str">
        <f>IF(Table1[[#This Row],[Vaccination %]]&gt;=150,"High",IF(Table1[[#This Row],[Vaccination %]]&gt;100,"Medium","Low"))</f>
        <v>High</v>
      </c>
    </row>
    <row r="22" spans="1:12" x14ac:dyDescent="0.3">
      <c r="A22" s="1" t="s">
        <v>31</v>
      </c>
      <c r="B22" s="2">
        <v>177977996</v>
      </c>
      <c r="C22" s="2">
        <v>84665105</v>
      </c>
      <c r="D22" s="2">
        <v>71650189</v>
      </c>
      <c r="E22" s="2">
        <v>4119145</v>
      </c>
      <c r="F22" s="2">
        <v>3108854</v>
      </c>
      <c r="G22" s="2">
        <v>2891273</v>
      </c>
      <c r="H22" s="2">
        <v>1870754</v>
      </c>
      <c r="I22" s="2">
        <v>5188711</v>
      </c>
      <c r="J22" s="2">
        <v>124904071</v>
      </c>
      <c r="K22" s="5">
        <v>142.4917495</v>
      </c>
      <c r="L22" s="4" t="str">
        <f>IF(Table1[[#This Row],[Vaccination %]]&gt;=150,"High",IF(Table1[[#This Row],[Vaccination %]]&gt;100,"Medium","Low"))</f>
        <v>Medium</v>
      </c>
    </row>
    <row r="23" spans="1:12" x14ac:dyDescent="0.3">
      <c r="A23" s="1" t="s">
        <v>32</v>
      </c>
      <c r="B23" s="2">
        <v>3269105</v>
      </c>
      <c r="C23" s="2">
        <v>1464399</v>
      </c>
      <c r="D23" s="2">
        <v>1226336</v>
      </c>
      <c r="E23" s="2">
        <v>109652</v>
      </c>
      <c r="F23" s="2">
        <v>68555</v>
      </c>
      <c r="G23" s="2">
        <v>75418</v>
      </c>
      <c r="H23" s="2">
        <v>44329</v>
      </c>
      <c r="I23" s="2">
        <v>115059</v>
      </c>
      <c r="J23" s="2">
        <v>3436948</v>
      </c>
      <c r="K23" s="5">
        <v>95.116510349999999</v>
      </c>
      <c r="L23" s="4" t="str">
        <f>IF(Table1[[#This Row],[Vaccination %]]&gt;=150,"High",IF(Table1[[#This Row],[Vaccination %]]&gt;100,"Medium","Low"))</f>
        <v>Low</v>
      </c>
    </row>
    <row r="24" spans="1:12" x14ac:dyDescent="0.3">
      <c r="A24" s="1" t="s">
        <v>33</v>
      </c>
      <c r="B24" s="2">
        <v>2626010</v>
      </c>
      <c r="C24" s="2">
        <v>1332466</v>
      </c>
      <c r="D24" s="2">
        <v>1025463</v>
      </c>
      <c r="E24" s="2">
        <v>77151</v>
      </c>
      <c r="F24" s="2">
        <v>42858</v>
      </c>
      <c r="G24" s="2">
        <v>37399</v>
      </c>
      <c r="H24" s="2">
        <v>19556</v>
      </c>
      <c r="I24" s="2">
        <v>33391</v>
      </c>
      <c r="J24" s="2">
        <v>3772103</v>
      </c>
      <c r="K24" s="5">
        <v>69.616603789999999</v>
      </c>
      <c r="L24" s="4" t="str">
        <f>IF(Table1[[#This Row],[Vaccination %]]&gt;=150,"High",IF(Table1[[#This Row],[Vaccination %]]&gt;100,"Medium","Low"))</f>
        <v>Low</v>
      </c>
    </row>
    <row r="25" spans="1:12" x14ac:dyDescent="0.3">
      <c r="A25" s="1" t="s">
        <v>34</v>
      </c>
      <c r="B25" s="2">
        <v>1793298</v>
      </c>
      <c r="C25" s="2">
        <v>785860</v>
      </c>
      <c r="D25" s="2">
        <v>669572</v>
      </c>
      <c r="E25" s="2">
        <v>60098</v>
      </c>
      <c r="F25" s="2">
        <v>47010</v>
      </c>
      <c r="G25" s="2">
        <v>48360</v>
      </c>
      <c r="H25" s="2">
        <v>33595</v>
      </c>
      <c r="I25" s="2">
        <v>80888</v>
      </c>
      <c r="J25" s="2">
        <v>1308967</v>
      </c>
      <c r="K25" s="5">
        <v>137.0010092</v>
      </c>
      <c r="L25" s="4" t="str">
        <f>IF(Table1[[#This Row],[Vaccination %]]&gt;=150,"High",IF(Table1[[#This Row],[Vaccination %]]&gt;100,"Medium","Low"))</f>
        <v>Medium</v>
      </c>
    </row>
    <row r="26" spans="1:12" x14ac:dyDescent="0.3">
      <c r="A26" s="1" t="s">
        <v>35</v>
      </c>
      <c r="B26" s="2">
        <v>1739837</v>
      </c>
      <c r="C26" s="2">
        <v>837969</v>
      </c>
      <c r="D26" s="2">
        <v>684747</v>
      </c>
      <c r="E26" s="2">
        <v>59974</v>
      </c>
      <c r="F26" s="2">
        <v>40347</v>
      </c>
      <c r="G26" s="2">
        <v>26012</v>
      </c>
      <c r="H26" s="2">
        <v>19889</v>
      </c>
      <c r="I26" s="2">
        <v>26877</v>
      </c>
      <c r="J26" s="2">
        <v>2073074</v>
      </c>
      <c r="K26" s="5">
        <v>83.925465279999997</v>
      </c>
      <c r="L26" s="4" t="str">
        <f>IF(Table1[[#This Row],[Vaccination %]]&gt;=150,"High",IF(Table1[[#This Row],[Vaccination %]]&gt;100,"Medium","Low"))</f>
        <v>Low</v>
      </c>
    </row>
    <row r="27" spans="1:12" x14ac:dyDescent="0.3">
      <c r="A27" s="1" t="s">
        <v>36</v>
      </c>
      <c r="B27" s="2">
        <v>81545960</v>
      </c>
      <c r="C27" s="2">
        <v>31454279</v>
      </c>
      <c r="D27" s="2">
        <v>29961065</v>
      </c>
      <c r="E27" s="2">
        <v>2195563</v>
      </c>
      <c r="F27" s="2">
        <v>1844432</v>
      </c>
      <c r="G27" s="2">
        <v>1601002</v>
      </c>
      <c r="H27" s="2">
        <v>1206692</v>
      </c>
      <c r="I27" s="2">
        <v>10069825</v>
      </c>
      <c r="J27" s="2">
        <v>47099270</v>
      </c>
      <c r="K27" s="5">
        <v>173.13635650000001</v>
      </c>
      <c r="L27" s="4" t="str">
        <f>IF(Table1[[#This Row],[Vaccination %]]&gt;=150,"High",IF(Table1[[#This Row],[Vaccination %]]&gt;100,"Medium","Low"))</f>
        <v>High</v>
      </c>
    </row>
    <row r="28" spans="1:12" x14ac:dyDescent="0.3">
      <c r="A28" s="1" t="s">
        <v>37</v>
      </c>
      <c r="B28" s="2">
        <v>2274059</v>
      </c>
      <c r="C28" s="2">
        <v>913046</v>
      </c>
      <c r="D28" s="2">
        <v>802234</v>
      </c>
      <c r="E28" s="2">
        <v>50694</v>
      </c>
      <c r="F28" s="2">
        <v>44614</v>
      </c>
      <c r="G28" s="2">
        <v>30873</v>
      </c>
      <c r="H28" s="2">
        <v>21251</v>
      </c>
      <c r="I28" s="2">
        <v>304200</v>
      </c>
      <c r="J28" s="2">
        <v>1646050</v>
      </c>
      <c r="K28" s="5">
        <v>138.15248629999999</v>
      </c>
      <c r="L28" s="4" t="str">
        <f>IF(Table1[[#This Row],[Vaccination %]]&gt;=150,"High",IF(Table1[[#This Row],[Vaccination %]]&gt;100,"Medium","Low"))</f>
        <v>Medium</v>
      </c>
    </row>
    <row r="29" spans="1:12" x14ac:dyDescent="0.3">
      <c r="A29" s="1" t="s">
        <v>38</v>
      </c>
      <c r="B29" s="2">
        <v>47051166</v>
      </c>
      <c r="C29" s="2">
        <v>22361633</v>
      </c>
      <c r="D29" s="2">
        <v>19621018</v>
      </c>
      <c r="E29" s="2">
        <v>1117510</v>
      </c>
      <c r="F29" s="2">
        <v>878056</v>
      </c>
      <c r="G29" s="2">
        <v>684148</v>
      </c>
      <c r="H29" s="2">
        <v>497396</v>
      </c>
      <c r="I29" s="2">
        <v>840406</v>
      </c>
      <c r="J29" s="2">
        <v>30501026</v>
      </c>
      <c r="K29" s="5">
        <v>154.26092879999999</v>
      </c>
      <c r="L29" s="4" t="str">
        <f>IF(Table1[[#This Row],[Vaccination %]]&gt;=150,"High",IF(Table1[[#This Row],[Vaccination %]]&gt;100,"Medium","Low"))</f>
        <v>High</v>
      </c>
    </row>
    <row r="30" spans="1:12" x14ac:dyDescent="0.3">
      <c r="A30" s="1" t="s">
        <v>39</v>
      </c>
      <c r="B30" s="2">
        <v>115721511</v>
      </c>
      <c r="C30" s="2">
        <v>51115413</v>
      </c>
      <c r="D30" s="2">
        <v>46586810</v>
      </c>
      <c r="E30" s="2">
        <v>3576045</v>
      </c>
      <c r="F30" s="2">
        <v>2955043</v>
      </c>
      <c r="G30" s="2">
        <v>2343976</v>
      </c>
      <c r="H30" s="2">
        <v>1496833</v>
      </c>
      <c r="I30" s="2">
        <v>4631834</v>
      </c>
      <c r="J30" s="2">
        <v>79502477</v>
      </c>
      <c r="K30" s="5">
        <v>145.55711389999999</v>
      </c>
      <c r="L30" s="4" t="str">
        <f>IF(Table1[[#This Row],[Vaccination %]]&gt;=150,"High",IF(Table1[[#This Row],[Vaccination %]]&gt;100,"Medium","Low"))</f>
        <v>Medium</v>
      </c>
    </row>
    <row r="31" spans="1:12" x14ac:dyDescent="0.3">
      <c r="A31" s="1" t="s">
        <v>40</v>
      </c>
      <c r="B31" s="2">
        <v>1360477</v>
      </c>
      <c r="C31" s="2">
        <v>539929</v>
      </c>
      <c r="D31" s="2">
        <v>509134</v>
      </c>
      <c r="E31" s="2">
        <v>30049</v>
      </c>
      <c r="F31" s="2">
        <v>26515</v>
      </c>
      <c r="G31" s="2">
        <v>21899</v>
      </c>
      <c r="H31" s="2">
        <v>19007</v>
      </c>
      <c r="I31" s="2">
        <v>158301</v>
      </c>
      <c r="J31" s="2">
        <v>658019</v>
      </c>
      <c r="K31" s="5">
        <v>206.75345239999999</v>
      </c>
      <c r="L31" s="4" t="str">
        <f>IF(Table1[[#This Row],[Vaccination %]]&gt;=150,"High",IF(Table1[[#This Row],[Vaccination %]]&gt;100,"Medium","Low"))</f>
        <v>High</v>
      </c>
    </row>
    <row r="32" spans="1:12" x14ac:dyDescent="0.3">
      <c r="A32" s="1" t="s">
        <v>41</v>
      </c>
      <c r="B32" s="2">
        <v>127533904</v>
      </c>
      <c r="C32" s="2">
        <v>56671366</v>
      </c>
      <c r="D32" s="2">
        <v>53532301</v>
      </c>
      <c r="E32" s="2">
        <v>2627751</v>
      </c>
      <c r="F32" s="2">
        <v>2224043</v>
      </c>
      <c r="G32" s="2">
        <v>1917151</v>
      </c>
      <c r="H32" s="2">
        <v>1465291</v>
      </c>
      <c r="I32" s="2">
        <v>6066180</v>
      </c>
      <c r="J32" s="2">
        <v>83697770</v>
      </c>
      <c r="K32" s="5">
        <v>152.37431530000001</v>
      </c>
      <c r="L32" s="4" t="str">
        <f>IF(Table1[[#This Row],[Vaccination %]]&gt;=150,"High",IF(Table1[[#This Row],[Vaccination %]]&gt;100,"Medium","Low"))</f>
        <v>High</v>
      </c>
    </row>
    <row r="33" spans="1:12" x14ac:dyDescent="0.3">
      <c r="A33" s="1" t="s">
        <v>42</v>
      </c>
      <c r="B33" s="2">
        <v>77627542</v>
      </c>
      <c r="C33" s="2">
        <v>29616909</v>
      </c>
      <c r="D33" s="2">
        <v>29076857</v>
      </c>
      <c r="E33" s="2">
        <v>1724095</v>
      </c>
      <c r="F33" s="2">
        <v>1582421</v>
      </c>
      <c r="G33" s="2">
        <v>1107824</v>
      </c>
      <c r="H33" s="2">
        <v>906491</v>
      </c>
      <c r="I33" s="2">
        <v>10860254</v>
      </c>
      <c r="J33" s="2">
        <v>38157311</v>
      </c>
      <c r="K33" s="5">
        <v>203.4408085</v>
      </c>
      <c r="L33" s="4" t="str">
        <f>IF(Table1[[#This Row],[Vaccination %]]&gt;=150,"High",IF(Table1[[#This Row],[Vaccination %]]&gt;100,"Medium","Low"))</f>
        <v>High</v>
      </c>
    </row>
    <row r="34" spans="1:12" x14ac:dyDescent="0.3">
      <c r="A34" s="1" t="s">
        <v>43</v>
      </c>
      <c r="B34" s="2">
        <v>5918997</v>
      </c>
      <c r="C34" s="2">
        <v>2659018</v>
      </c>
      <c r="D34" s="2">
        <v>2328968</v>
      </c>
      <c r="E34" s="2">
        <v>144833</v>
      </c>
      <c r="F34" s="2">
        <v>115278</v>
      </c>
      <c r="G34" s="2">
        <v>112965</v>
      </c>
      <c r="H34" s="2">
        <v>79612</v>
      </c>
      <c r="I34" s="2">
        <v>273061</v>
      </c>
      <c r="J34" s="2">
        <v>4184959</v>
      </c>
      <c r="K34" s="5">
        <v>141.4350057</v>
      </c>
      <c r="L34" s="4" t="str">
        <f>IF(Table1[[#This Row],[Vaccination %]]&gt;=150,"High",IF(Table1[[#This Row],[Vaccination %]]&gt;100,"Medium","Low"))</f>
        <v>Medium</v>
      </c>
    </row>
    <row r="35" spans="1:12" x14ac:dyDescent="0.3">
      <c r="A35" s="1" t="s">
        <v>44</v>
      </c>
      <c r="B35" s="2">
        <v>392011174</v>
      </c>
      <c r="C35" s="2">
        <v>154096960</v>
      </c>
      <c r="D35" s="2">
        <v>147866674</v>
      </c>
      <c r="E35" s="2">
        <v>14193665</v>
      </c>
      <c r="F35" s="2">
        <v>13227415</v>
      </c>
      <c r="G35" s="2">
        <v>8709857</v>
      </c>
      <c r="H35" s="2">
        <v>7876085</v>
      </c>
      <c r="I35" s="2">
        <v>36643273</v>
      </c>
      <c r="J35" s="2">
        <v>231502578</v>
      </c>
      <c r="K35" s="5">
        <v>169.33339459999999</v>
      </c>
      <c r="L35" s="4" t="str">
        <f>IF(Table1[[#This Row],[Vaccination %]]&gt;=150,"High",IF(Table1[[#This Row],[Vaccination %]]&gt;100,"Medium","Low"))</f>
        <v>High</v>
      </c>
    </row>
    <row r="36" spans="1:12" x14ac:dyDescent="0.3">
      <c r="A36" s="1" t="s">
        <v>45</v>
      </c>
      <c r="B36" s="2">
        <v>20143654</v>
      </c>
      <c r="C36" s="2">
        <v>8183361</v>
      </c>
      <c r="D36" s="2">
        <v>7949246</v>
      </c>
      <c r="E36" s="2">
        <v>532982</v>
      </c>
      <c r="F36" s="2">
        <v>467836</v>
      </c>
      <c r="G36" s="2">
        <v>402314</v>
      </c>
      <c r="H36" s="2">
        <v>315985</v>
      </c>
      <c r="I36" s="2">
        <v>1417182</v>
      </c>
      <c r="J36" s="2">
        <v>11700099</v>
      </c>
      <c r="K36" s="5">
        <v>172.1665261</v>
      </c>
      <c r="L36" s="4" t="str">
        <f>IF(Table1[[#This Row],[Vaccination %]]&gt;=150,"High",IF(Table1[[#This Row],[Vaccination %]]&gt;100,"Medium","Low"))</f>
        <v>High</v>
      </c>
    </row>
    <row r="37" spans="1:12" x14ac:dyDescent="0.3">
      <c r="A37" s="1" t="s">
        <v>46</v>
      </c>
      <c r="B37" s="2">
        <v>156100370</v>
      </c>
      <c r="C37" s="2">
        <v>67305396</v>
      </c>
      <c r="D37" s="2">
        <v>61606895</v>
      </c>
      <c r="E37" s="2">
        <v>3599987</v>
      </c>
      <c r="F37" s="2">
        <v>3041540</v>
      </c>
      <c r="G37" s="2">
        <v>2622505</v>
      </c>
      <c r="H37" s="2">
        <v>2059418</v>
      </c>
      <c r="I37" s="2">
        <v>10358494</v>
      </c>
      <c r="J37" s="2">
        <v>100896618</v>
      </c>
      <c r="K37" s="5">
        <v>154.7131837</v>
      </c>
      <c r="L37" s="4" t="str">
        <f>IF(Table1[[#This Row],[Vaccination %]]&gt;=150,"High",IF(Table1[[#This Row],[Vaccination %]]&gt;100,"Medium","Low"))</f>
        <v>High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6208-5687-40EF-B2FC-8E368E84B728}">
  <dimension ref="A3:M78"/>
  <sheetViews>
    <sheetView zoomScale="70" zoomScaleNormal="70" workbookViewId="0">
      <selection activeCell="A55" sqref="A55:A64"/>
    </sheetView>
  </sheetViews>
  <sheetFormatPr defaultRowHeight="13.8" x14ac:dyDescent="0.25"/>
  <cols>
    <col min="1" max="1" width="14.3984375" bestFit="1" customWidth="1"/>
    <col min="2" max="3" width="11.69921875" bestFit="1" customWidth="1"/>
    <col min="4" max="4" width="25.5" bestFit="1" customWidth="1"/>
    <col min="5" max="5" width="15.59765625" bestFit="1" customWidth="1"/>
    <col min="7" max="7" width="14.3984375" bestFit="1" customWidth="1"/>
    <col min="8" max="8" width="15.3984375" bestFit="1" customWidth="1"/>
    <col min="9" max="9" width="25.5" bestFit="1" customWidth="1"/>
    <col min="10" max="10" width="9.19921875" bestFit="1" customWidth="1"/>
    <col min="11" max="11" width="13.3984375" bestFit="1" customWidth="1"/>
    <col min="12" max="12" width="12.5" bestFit="1" customWidth="1"/>
    <col min="13" max="13" width="16" bestFit="1" customWidth="1"/>
    <col min="17" max="17" width="37.8984375" bestFit="1" customWidth="1"/>
    <col min="18" max="18" width="36.3984375" bestFit="1" customWidth="1"/>
  </cols>
  <sheetData>
    <row r="3" spans="1:13" ht="14.4" x14ac:dyDescent="0.3">
      <c r="A3" s="9" t="s">
        <v>49</v>
      </c>
      <c r="C3" s="8" t="s">
        <v>54</v>
      </c>
      <c r="D3" s="9" t="s">
        <v>53</v>
      </c>
      <c r="G3" s="8" t="s">
        <v>54</v>
      </c>
      <c r="H3" s="9" t="s">
        <v>49</v>
      </c>
      <c r="I3" s="9" t="s">
        <v>53</v>
      </c>
      <c r="L3" s="8" t="s">
        <v>54</v>
      </c>
      <c r="M3" s="9" t="s">
        <v>60</v>
      </c>
    </row>
    <row r="4" spans="1:13" ht="14.4" x14ac:dyDescent="0.3">
      <c r="A4" s="12">
        <v>1429869880</v>
      </c>
      <c r="C4" s="10" t="s">
        <v>44</v>
      </c>
      <c r="D4" s="11">
        <v>392011174</v>
      </c>
      <c r="G4" s="10" t="s">
        <v>12</v>
      </c>
      <c r="H4" s="11">
        <v>91702478</v>
      </c>
      <c r="I4" s="11">
        <v>110957430</v>
      </c>
      <c r="L4" s="10" t="s">
        <v>11</v>
      </c>
      <c r="M4" s="13">
        <v>248.43647010000001</v>
      </c>
    </row>
    <row r="5" spans="1:13" ht="14.4" x14ac:dyDescent="0.3">
      <c r="C5" s="10" t="s">
        <v>31</v>
      </c>
      <c r="D5" s="11">
        <v>177977996</v>
      </c>
      <c r="G5" s="10" t="s">
        <v>15</v>
      </c>
      <c r="H5" s="11">
        <v>128500364</v>
      </c>
      <c r="I5" s="11">
        <v>157293015</v>
      </c>
      <c r="L5" s="10" t="s">
        <v>29</v>
      </c>
      <c r="M5" s="13">
        <v>220.16787619999999</v>
      </c>
    </row>
    <row r="6" spans="1:13" ht="14.4" x14ac:dyDescent="0.3">
      <c r="A6" s="9" t="s">
        <v>50</v>
      </c>
      <c r="C6" s="10" t="s">
        <v>15</v>
      </c>
      <c r="D6" s="11">
        <v>157293015</v>
      </c>
      <c r="G6" s="10" t="s">
        <v>21</v>
      </c>
      <c r="H6" s="11">
        <v>70400153</v>
      </c>
      <c r="I6" s="11">
        <v>128105565</v>
      </c>
      <c r="L6" s="10" t="s">
        <v>40</v>
      </c>
      <c r="M6" s="13">
        <v>206.75345239999999</v>
      </c>
    </row>
    <row r="7" spans="1:13" ht="14.4" x14ac:dyDescent="0.3">
      <c r="A7" s="12">
        <v>920123873</v>
      </c>
      <c r="C7" s="10" t="s">
        <v>46</v>
      </c>
      <c r="D7" s="11">
        <v>156100370</v>
      </c>
      <c r="G7" s="10" t="s">
        <v>26</v>
      </c>
      <c r="H7" s="11">
        <v>69599762</v>
      </c>
      <c r="I7" s="11">
        <v>122152396</v>
      </c>
      <c r="L7" s="10" t="s">
        <v>23</v>
      </c>
      <c r="M7" s="13">
        <v>204.25781119999999</v>
      </c>
    </row>
    <row r="8" spans="1:13" ht="14.4" x14ac:dyDescent="0.3">
      <c r="C8" s="10" t="s">
        <v>30</v>
      </c>
      <c r="D8" s="11">
        <v>133940196</v>
      </c>
      <c r="G8" s="10" t="s">
        <v>30</v>
      </c>
      <c r="H8" s="11">
        <v>85002417</v>
      </c>
      <c r="I8" s="11">
        <v>133940196</v>
      </c>
      <c r="L8" s="10" t="s">
        <v>18</v>
      </c>
      <c r="M8" s="13">
        <v>204.14291009999999</v>
      </c>
    </row>
    <row r="9" spans="1:13" ht="14.4" x14ac:dyDescent="0.3">
      <c r="C9" s="10" t="s">
        <v>21</v>
      </c>
      <c r="D9" s="11">
        <v>128105565</v>
      </c>
      <c r="G9" s="10" t="s">
        <v>31</v>
      </c>
      <c r="H9" s="11">
        <v>124904071</v>
      </c>
      <c r="I9" s="11">
        <v>177977996</v>
      </c>
      <c r="L9" s="10" t="s">
        <v>42</v>
      </c>
      <c r="M9" s="13">
        <v>203.4408085</v>
      </c>
    </row>
    <row r="10" spans="1:13" ht="14.4" x14ac:dyDescent="0.3">
      <c r="A10" s="9" t="s">
        <v>51</v>
      </c>
      <c r="C10" s="10" t="s">
        <v>41</v>
      </c>
      <c r="D10" s="11">
        <v>127533904</v>
      </c>
      <c r="G10" s="10" t="s">
        <v>39</v>
      </c>
      <c r="H10" s="11">
        <v>79502477</v>
      </c>
      <c r="I10" s="11">
        <v>115721511</v>
      </c>
      <c r="L10" s="10" t="s">
        <v>16</v>
      </c>
      <c r="M10" s="13">
        <v>197.91518429999999</v>
      </c>
    </row>
    <row r="11" spans="1:13" ht="14.4" x14ac:dyDescent="0.3">
      <c r="A11" s="12">
        <v>864204849</v>
      </c>
      <c r="C11" s="10" t="s">
        <v>26</v>
      </c>
      <c r="D11" s="11">
        <v>122152396</v>
      </c>
      <c r="G11" s="10" t="s">
        <v>41</v>
      </c>
      <c r="H11" s="11">
        <v>83697770</v>
      </c>
      <c r="I11" s="11">
        <v>127533904</v>
      </c>
      <c r="L11" s="10" t="s">
        <v>28</v>
      </c>
      <c r="M11" s="13">
        <v>195.23188250000001</v>
      </c>
    </row>
    <row r="12" spans="1:13" ht="14.4" x14ac:dyDescent="0.3">
      <c r="C12" s="10" t="s">
        <v>39</v>
      </c>
      <c r="D12" s="11">
        <v>115721511</v>
      </c>
      <c r="G12" s="10" t="s">
        <v>44</v>
      </c>
      <c r="H12" s="11">
        <v>231502578</v>
      </c>
      <c r="I12" s="11">
        <v>392011174</v>
      </c>
      <c r="L12" s="10" t="s">
        <v>19</v>
      </c>
      <c r="M12" s="13">
        <v>193.81984840000001</v>
      </c>
    </row>
    <row r="13" spans="1:13" ht="14.4" x14ac:dyDescent="0.3">
      <c r="C13" s="10" t="s">
        <v>12</v>
      </c>
      <c r="D13" s="11">
        <v>110957430</v>
      </c>
      <c r="G13" s="10" t="s">
        <v>46</v>
      </c>
      <c r="H13" s="11">
        <v>100896618</v>
      </c>
      <c r="I13" s="11">
        <v>156100370</v>
      </c>
      <c r="L13" s="10" t="s">
        <v>20</v>
      </c>
      <c r="M13" s="13">
        <v>188.86281930000001</v>
      </c>
    </row>
    <row r="14" spans="1:13" ht="14.4" x14ac:dyDescent="0.3">
      <c r="A14" s="9" t="s">
        <v>52</v>
      </c>
      <c r="C14" s="10" t="s">
        <v>55</v>
      </c>
      <c r="D14" s="11">
        <v>1621793557</v>
      </c>
      <c r="G14" s="10" t="s">
        <v>55</v>
      </c>
      <c r="H14" s="11">
        <v>1065708688</v>
      </c>
      <c r="I14" s="11">
        <v>1621793557</v>
      </c>
      <c r="L14" s="10" t="s">
        <v>55</v>
      </c>
      <c r="M14" s="13">
        <v>206.30290629999999</v>
      </c>
    </row>
    <row r="15" spans="1:13" ht="14.4" x14ac:dyDescent="0.3">
      <c r="A15" s="12">
        <v>158578250</v>
      </c>
    </row>
    <row r="18" spans="1:1" ht="14.4" x14ac:dyDescent="0.3">
      <c r="A18" s="9" t="s">
        <v>53</v>
      </c>
    </row>
    <row r="19" spans="1:1" ht="14.4" x14ac:dyDescent="0.3">
      <c r="A19" s="12">
        <v>2201473588</v>
      </c>
    </row>
    <row r="49" spans="1:8" ht="14.4" x14ac:dyDescent="0.3">
      <c r="G49" s="8" t="s">
        <v>54</v>
      </c>
      <c r="H49" s="9" t="s">
        <v>53</v>
      </c>
    </row>
    <row r="50" spans="1:8" ht="14.4" x14ac:dyDescent="0.3">
      <c r="G50" s="10" t="s">
        <v>12</v>
      </c>
      <c r="H50" s="11">
        <v>110957430</v>
      </c>
    </row>
    <row r="51" spans="1:8" ht="14.4" x14ac:dyDescent="0.3">
      <c r="G51" s="10" t="s">
        <v>15</v>
      </c>
      <c r="H51" s="11">
        <v>157293015</v>
      </c>
    </row>
    <row r="52" spans="1:8" ht="14.4" x14ac:dyDescent="0.3">
      <c r="G52" s="10" t="s">
        <v>21</v>
      </c>
      <c r="H52" s="11">
        <v>128105565</v>
      </c>
    </row>
    <row r="53" spans="1:8" ht="14.4" x14ac:dyDescent="0.3">
      <c r="G53" s="10" t="s">
        <v>26</v>
      </c>
      <c r="H53" s="11">
        <v>122152396</v>
      </c>
    </row>
    <row r="54" spans="1:8" ht="14.4" x14ac:dyDescent="0.3">
      <c r="A54" s="8" t="s">
        <v>54</v>
      </c>
      <c r="B54" s="9" t="s">
        <v>50</v>
      </c>
      <c r="C54" s="9" t="s">
        <v>51</v>
      </c>
      <c r="G54" s="10" t="s">
        <v>30</v>
      </c>
      <c r="H54" s="11">
        <v>133940196</v>
      </c>
    </row>
    <row r="55" spans="1:8" ht="14.4" x14ac:dyDescent="0.3">
      <c r="A55" s="10" t="s">
        <v>44</v>
      </c>
      <c r="B55" s="11">
        <v>154096960</v>
      </c>
      <c r="C55" s="11">
        <v>147866674</v>
      </c>
      <c r="G55" s="10" t="s">
        <v>31</v>
      </c>
      <c r="H55" s="11">
        <v>177977996</v>
      </c>
    </row>
    <row r="56" spans="1:8" ht="14.4" x14ac:dyDescent="0.3">
      <c r="A56" s="10" t="s">
        <v>31</v>
      </c>
      <c r="B56" s="11">
        <v>84665105</v>
      </c>
      <c r="C56" s="11">
        <v>71650189</v>
      </c>
      <c r="G56" s="10" t="s">
        <v>39</v>
      </c>
      <c r="H56" s="11">
        <v>115721511</v>
      </c>
    </row>
    <row r="57" spans="1:8" ht="14.4" x14ac:dyDescent="0.3">
      <c r="A57" s="10" t="s">
        <v>46</v>
      </c>
      <c r="B57" s="11">
        <v>67305396</v>
      </c>
      <c r="C57" s="11">
        <v>61606895</v>
      </c>
      <c r="G57" s="10" t="s">
        <v>41</v>
      </c>
      <c r="H57" s="11">
        <v>127533904</v>
      </c>
    </row>
    <row r="58" spans="1:8" ht="14.4" x14ac:dyDescent="0.3">
      <c r="A58" s="10" t="s">
        <v>15</v>
      </c>
      <c r="B58" s="11">
        <v>62956601</v>
      </c>
      <c r="C58" s="11">
        <v>59160917</v>
      </c>
      <c r="G58" s="10" t="s">
        <v>44</v>
      </c>
      <c r="H58" s="11">
        <v>392011174</v>
      </c>
    </row>
    <row r="59" spans="1:8" ht="14.4" x14ac:dyDescent="0.3">
      <c r="A59" s="10" t="s">
        <v>41</v>
      </c>
      <c r="B59" s="11">
        <v>56671366</v>
      </c>
      <c r="C59" s="11">
        <v>53532301</v>
      </c>
      <c r="G59" s="10" t="s">
        <v>46</v>
      </c>
      <c r="H59" s="11">
        <v>156100370</v>
      </c>
    </row>
    <row r="60" spans="1:8" ht="14.4" x14ac:dyDescent="0.3">
      <c r="A60" s="10" t="s">
        <v>30</v>
      </c>
      <c r="B60" s="11">
        <v>54143863</v>
      </c>
      <c r="C60" s="11">
        <v>54061656</v>
      </c>
      <c r="G60" s="10" t="s">
        <v>55</v>
      </c>
      <c r="H60" s="11">
        <v>1621793557</v>
      </c>
    </row>
    <row r="61" spans="1:8" ht="14.4" x14ac:dyDescent="0.3">
      <c r="A61" s="10" t="s">
        <v>39</v>
      </c>
      <c r="B61" s="11">
        <v>51115413</v>
      </c>
      <c r="C61" s="11">
        <v>46586810</v>
      </c>
    </row>
    <row r="62" spans="1:8" ht="14.4" x14ac:dyDescent="0.3">
      <c r="A62" s="10" t="s">
        <v>26</v>
      </c>
      <c r="B62" s="11">
        <v>50032922</v>
      </c>
      <c r="C62" s="11">
        <v>50520795</v>
      </c>
    </row>
    <row r="63" spans="1:8" ht="14.4" x14ac:dyDescent="0.3">
      <c r="A63" s="10" t="s">
        <v>21</v>
      </c>
      <c r="B63" s="11">
        <v>49324964</v>
      </c>
      <c r="C63" s="11">
        <v>49448078</v>
      </c>
    </row>
    <row r="64" spans="1:8" ht="14.4" x14ac:dyDescent="0.3">
      <c r="A64" s="10" t="s">
        <v>12</v>
      </c>
      <c r="B64" s="11">
        <v>40645695</v>
      </c>
      <c r="C64" s="11">
        <v>43555744</v>
      </c>
    </row>
    <row r="65" spans="1:13" ht="14.4" x14ac:dyDescent="0.3">
      <c r="A65" s="10" t="s">
        <v>55</v>
      </c>
      <c r="B65" s="11">
        <v>670958285</v>
      </c>
      <c r="C65" s="11">
        <v>637990059</v>
      </c>
    </row>
    <row r="74" spans="1:13" ht="14.4" x14ac:dyDescent="0.3">
      <c r="L74" s="14" t="s">
        <v>54</v>
      </c>
      <c r="M74" s="15" t="s">
        <v>59</v>
      </c>
    </row>
    <row r="75" spans="1:13" ht="14.4" x14ac:dyDescent="0.3">
      <c r="L75" s="16" t="s">
        <v>56</v>
      </c>
      <c r="M75" s="17">
        <v>23</v>
      </c>
    </row>
    <row r="76" spans="1:13" ht="14.4" x14ac:dyDescent="0.3">
      <c r="L76" s="16" t="s">
        <v>57</v>
      </c>
      <c r="M76" s="17">
        <v>3</v>
      </c>
    </row>
    <row r="77" spans="1:13" ht="14.4" x14ac:dyDescent="0.3">
      <c r="L77" s="16" t="s">
        <v>58</v>
      </c>
      <c r="M77" s="17">
        <v>10</v>
      </c>
    </row>
    <row r="78" spans="1:13" ht="14.4" x14ac:dyDescent="0.3">
      <c r="L78" s="16" t="s">
        <v>55</v>
      </c>
      <c r="M78" s="17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44FF-FE2D-41A8-83D5-34D25C0416DB}">
  <dimension ref="G2:I2"/>
  <sheetViews>
    <sheetView showGridLines="0" tabSelected="1" zoomScale="55" zoomScaleNormal="55" workbookViewId="0">
      <selection activeCell="Y39" sqref="Y39"/>
    </sheetView>
  </sheetViews>
  <sheetFormatPr defaultRowHeight="13.8" x14ac:dyDescent="0.25"/>
  <sheetData>
    <row r="2" spans="7:9" ht="30.6" x14ac:dyDescent="0.55000000000000004">
      <c r="G2" s="7" t="s">
        <v>61</v>
      </c>
      <c r="I2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6F56-D17C-40A4-9F1C-413F8FC1151D}">
  <dimension ref="B4:D14"/>
  <sheetViews>
    <sheetView topLeftCell="B1" zoomScale="160" zoomScaleNormal="160" workbookViewId="0">
      <selection activeCell="F18" sqref="F18"/>
    </sheetView>
  </sheetViews>
  <sheetFormatPr defaultRowHeight="13.8" x14ac:dyDescent="0.25"/>
  <cols>
    <col min="2" max="2" width="35.19921875" bestFit="1" customWidth="1"/>
    <col min="3" max="3" width="14.3984375" bestFit="1" customWidth="1"/>
    <col min="4" max="4" width="23.59765625" bestFit="1" customWidth="1"/>
  </cols>
  <sheetData>
    <row r="4" spans="2:4" x14ac:dyDescent="0.25">
      <c r="B4" t="s">
        <v>54</v>
      </c>
      <c r="C4" t="s">
        <v>49</v>
      </c>
      <c r="D4" t="s">
        <v>53</v>
      </c>
    </row>
    <row r="5" spans="2:4" x14ac:dyDescent="0.25">
      <c r="B5" t="s">
        <v>12</v>
      </c>
      <c r="C5">
        <v>91702478</v>
      </c>
      <c r="D5">
        <v>110957430</v>
      </c>
    </row>
    <row r="6" spans="2:4" x14ac:dyDescent="0.25">
      <c r="B6" t="s">
        <v>15</v>
      </c>
      <c r="C6">
        <v>128500364</v>
      </c>
      <c r="D6">
        <v>157293015</v>
      </c>
    </row>
    <row r="7" spans="2:4" x14ac:dyDescent="0.25">
      <c r="B7" t="s">
        <v>21</v>
      </c>
      <c r="C7">
        <v>70400153</v>
      </c>
      <c r="D7">
        <v>128105565</v>
      </c>
    </row>
    <row r="8" spans="2:4" x14ac:dyDescent="0.25">
      <c r="B8" t="s">
        <v>26</v>
      </c>
      <c r="C8">
        <v>69599762</v>
      </c>
      <c r="D8">
        <v>122152396</v>
      </c>
    </row>
    <row r="9" spans="2:4" x14ac:dyDescent="0.25">
      <c r="B9" t="s">
        <v>30</v>
      </c>
      <c r="C9">
        <v>85002417</v>
      </c>
      <c r="D9">
        <v>133940196</v>
      </c>
    </row>
    <row r="10" spans="2:4" x14ac:dyDescent="0.25">
      <c r="B10" t="s">
        <v>31</v>
      </c>
      <c r="C10">
        <v>124904071</v>
      </c>
      <c r="D10">
        <v>177977996</v>
      </c>
    </row>
    <row r="11" spans="2:4" x14ac:dyDescent="0.25">
      <c r="B11" t="s">
        <v>39</v>
      </c>
      <c r="C11">
        <v>79502477</v>
      </c>
      <c r="D11">
        <v>115721511</v>
      </c>
    </row>
    <row r="12" spans="2:4" x14ac:dyDescent="0.25">
      <c r="B12" t="s">
        <v>41</v>
      </c>
      <c r="C12">
        <v>83697770</v>
      </c>
      <c r="D12">
        <v>127533904</v>
      </c>
    </row>
    <row r="13" spans="2:4" x14ac:dyDescent="0.25">
      <c r="B13" t="s">
        <v>44</v>
      </c>
      <c r="C13">
        <v>231502578</v>
      </c>
      <c r="D13">
        <v>392011174</v>
      </c>
    </row>
    <row r="14" spans="2:4" x14ac:dyDescent="0.25">
      <c r="B14" t="s">
        <v>46</v>
      </c>
      <c r="C14">
        <v>100896618</v>
      </c>
      <c r="D14">
        <v>156100370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cleaned</vt:lpstr>
      <vt:lpstr>Pivot Data</vt:lpstr>
      <vt:lpstr>Dashboard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RADHA PADOLE</cp:lastModifiedBy>
  <dcterms:created xsi:type="dcterms:W3CDTF">2026-07-06T03:42:24Z</dcterms:created>
  <dcterms:modified xsi:type="dcterms:W3CDTF">2026-08-07T07:01:13Z</dcterms:modified>
</cp:coreProperties>
</file>